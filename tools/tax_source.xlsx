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9.xml" ContentType="application/vnd.openxmlformats-officedocument.spreadsheetml.worksheet+xml"/>
  <Override PartName="/xl/worksheets/sheet17.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RATES" sheetId="2" state="visible" r:id="rId4"/>
    <sheet name="HOOKS" sheetId="3" state="visible" r:id="rId5"/>
    <sheet name="QUIZ" sheetId="4" state="visible" r:id="rId6"/>
    <sheet name="CALCULATORS" sheetId="5" state="visible" r:id="rId7"/>
    <sheet name="CHECK THESE" sheetId="6" state="visible" r:id="rId8"/>
    <sheet name="General Principles" sheetId="7" state="visible" r:id="rId9"/>
    <sheet name="Individuals" sheetId="8" state="visible" r:id="rId10"/>
    <sheet name="Corporations" sheetId="9" state="visible" r:id="rId11"/>
    <sheet name="Dividends" sheetId="10" state="visible" r:id="rId12"/>
    <sheet name="Partnerships" sheetId="11" state="visible" r:id="rId13"/>
    <sheet name="Gross Income" sheetId="12" state="visible" r:id="rId14"/>
    <sheet name="Deductions" sheetId="13" state="visible" r:id="rId15"/>
    <sheet name="Capital Assets" sheetId="14" state="visible" r:id="rId16"/>
    <sheet name="Installment Reporting" sheetId="15" state="visible" r:id="rId17"/>
    <sheet name="Fringe Benefits" sheetId="16" state="visible" r:id="rId18"/>
    <sheet name="Donors Tax" sheetId="17" state="visible" r:id="rId19"/>
    <sheet name="Estate Tax" sheetId="18" state="visible" r:id="rId20"/>
    <sheet name="VAT" sheetId="19" state="visible" r:id="rId21"/>
    <sheet name="OPT" sheetId="20" state="visible" r:id="rId22"/>
    <sheet name="Excise Tax" sheetId="21" state="visible" r:id="rId23"/>
    <sheet name="DST" sheetId="22" state="visible" r:id="rId24"/>
    <sheet name="Local Taxes" sheetId="23" state="visible" r:id="rId25"/>
    <sheet name="Preferential Taxes" sheetId="24" state="visible" r:id="rId26"/>
    <sheet name="CREATE MORE" sheetId="25" state="visible" r:id="rId27"/>
    <sheet name="Remedies" sheetId="26" state="visible" r:id="rId28"/>
    <sheet name="Filing" sheetId="27" state="visible" r:id="rId29"/>
    <sheet name="Updates (EOPTA CMEPA)" sheetId="28" state="visible" r:id="rId30"/>
    <sheet name="CREATE vs TRAIN" sheetId="29" state="visible" r:id="rId3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<sst xmlns="http://schemas.openxmlformats.org/spreadsheetml/2006/main" count="3773" uniqueCount="2877">
  <si>
    <t xml:space="preserve">CPALE TAXATION - MADE EASY (revised from your Pinnacle spreadsheet)</t>
  </si>
  <si>
    <t xml:space="preserve">THE BIG IDEA (read this first): Every tax problem is just 3 questions: (1) WHO is the taxpayer? (2) WHERE and WHAT KIND of income/transaction is it? (3) HOW MUCH is the rate and WHEN do I pay? Learn to ask those three, in that order, and the rest is memorizing rates.</t>
  </si>
  <si>
    <t xml:space="preserve">HOW TO READ THE COLOURS</t>
  </si>
  <si>
    <t xml:space="preserve">Look</t>
  </si>
  <si>
    <t xml:space="preserve">Means</t>
  </si>
  <si>
    <t xml:space="preserve">Red bold numbers</t>
  </si>
  <si>
    <t xml:space="preserve">A rate or number you MUST memorize.</t>
  </si>
  <si>
    <t xml:space="preserve">Green band  (HOOK)</t>
  </si>
  <si>
    <t xml:space="preserve">A memory trick. Say it out loud 3 times.</t>
  </si>
  <si>
    <t xml:space="preserve">Red band  (TRAP)</t>
  </si>
  <si>
    <t xml:space="preserve">The exact spot where exam makers catch people.</t>
  </si>
  <si>
    <t xml:space="preserve">Gold band  (5 THINGS)</t>
  </si>
  <si>
    <t xml:space="preserve">If you are short on time, learn only these.</t>
  </si>
  <si>
    <t xml:space="preserve">Blue text / blue band  (ADDED)</t>
  </si>
  <si>
    <t xml:space="preserve">Rules, numbers or examples I added that were NOT in your original sheet (plain-English explanations are everywhere, but blue marks new facts). Verify before the exam.</t>
  </si>
  <si>
    <t xml:space="preserve">THE 5-STEP STUDY LOOP (works even if you feel lost)</t>
  </si>
  <si>
    <t xml:space="preserve">Step</t>
  </si>
  <si>
    <t xml:space="preserve">Do this</t>
  </si>
  <si>
    <t xml:space="preserve">Time</t>
  </si>
  <si>
    <t xml:space="preserve">1. Read</t>
  </si>
  <si>
    <t xml:space="preserve">Read the BIG IDEA on top of the tab. If you cannot say it in your own words, read it again.</t>
  </si>
  <si>
    <t xml:space="preserve">1 min</t>
  </si>
  <si>
    <t xml:space="preserve">2. Say it</t>
  </si>
  <si>
    <t xml:space="preserve">Read the table out loud, then the HOOK. Out loud matters; your memory loves your own voice.</t>
  </si>
  <si>
    <t xml:space="preserve">5 min</t>
  </si>
  <si>
    <t xml:space="preserve">3. Hide and test</t>
  </si>
  <si>
    <t xml:space="preserve">Go to the QUIZ tab. Cover the answer column with paper. Say the answer before you look.</t>
  </si>
  <si>
    <t xml:space="preserve">4. Fix the misses</t>
  </si>
  <si>
    <t xml:space="preserve">Every question you missed goes on a sticky note or your own list. Re-test only the misses.</t>
  </si>
  <si>
    <t xml:space="preserve">3 min</t>
  </si>
  <si>
    <t xml:space="preserve">5. Repeat on a schedule</t>
  </si>
  <si>
    <t xml:space="preserve">Review on Day 1, Day 3, Day 7, Day 14, Day 30. Short and frequent beats long and rare.</t>
  </si>
  <si>
    <t xml:space="preserve">10 min each</t>
  </si>
  <si>
    <t xml:space="preserve">TAB MAP AND PRIORITY (my suggestion; follow your review center if it differs)</t>
  </si>
  <si>
    <t xml:space="preserve">Tab</t>
  </si>
  <si>
    <t xml:space="preserve">What is inside</t>
  </si>
  <si>
    <t xml:space="preserve">Priority</t>
  </si>
  <si>
    <t xml:space="preserve">RATES</t>
  </si>
  <si>
    <t xml:space="preserve">Every rate and number on ONE page. Print this.</t>
  </si>
  <si>
    <t xml:space="preserve">*** Daily</t>
  </si>
  <si>
    <t xml:space="preserve">HOOKS</t>
  </si>
  <si>
    <t xml:space="preserve">Memory tricks for the hardest-to-remember numbers.</t>
  </si>
  <si>
    <t xml:space="preserve">QUIZ</t>
  </si>
  <si>
    <t xml:space="preserve">Question and answer flashcards.</t>
  </si>
  <si>
    <t xml:space="preserve">CALCULATORS</t>
  </si>
  <si>
    <t xml:space="preserve">Type in a number, see the tax. Learn how the formulas work.</t>
  </si>
  <si>
    <t xml:space="preserve">*** Weekly</t>
  </si>
  <si>
    <t xml:space="preserve">CHECK THESE</t>
  </si>
  <si>
    <t xml:space="preserve">Mistakes and doubtful items I found in your original file.</t>
  </si>
  <si>
    <t xml:space="preserve">*** Read today</t>
  </si>
  <si>
    <t xml:space="preserve">Updates (EOPTA, CMEPA, CREATE MORE, CREATE vs TRAIN)</t>
  </si>
  <si>
    <t xml:space="preserve">What changed in the law. Examiners love 'what is the rate NOW?'</t>
  </si>
  <si>
    <t xml:space="preserve">*** High</t>
  </si>
  <si>
    <t xml:space="preserve">Individuals, Corporations, Gross Income, Deductions</t>
  </si>
  <si>
    <t xml:space="preserve">The income tax core.</t>
  </si>
  <si>
    <t xml:space="preserve">VAT, OPT, Estate, Donors, Remedies</t>
  </si>
  <si>
    <t xml:space="preserve">The big non-income topics.</t>
  </si>
  <si>
    <t xml:space="preserve">Dividends, Fringe, Capital Assets, Installment, Partnerships</t>
  </si>
  <si>
    <t xml:space="preserve">Medium-weight topics with a lot of computations.</t>
  </si>
  <si>
    <t xml:space="preserve">** Medium</t>
  </si>
  <si>
    <t xml:space="preserve">Local, Preferential, Filing, Excise, DST</t>
  </si>
  <si>
    <t xml:space="preserve">Memorization-heavy; hooks help a lot.</t>
  </si>
  <si>
    <t xml:space="preserve">General Principles</t>
  </si>
  <si>
    <t xml:space="preserve">Definitions and theories. Easy points if you read it twice.</t>
  </si>
  <si>
    <t xml:space="preserve">* Lighter</t>
  </si>
  <si>
    <t xml:space="preserve">THE 3-QUESTION SOLVER (use on every problem)</t>
  </si>
  <si>
    <t xml:space="preserve">Question</t>
  </si>
  <si>
    <t xml:space="preserve">Why it matters</t>
  </si>
  <si>
    <t xml:space="preserve">Answer choices</t>
  </si>
  <si>
    <t xml:space="preserve">1. WHO is the taxpayer?</t>
  </si>
  <si>
    <t xml:space="preserve">Your tax treatment depends on the label.</t>
  </si>
  <si>
    <t xml:space="preserve">Individual: RC, NRC, RA, NRA-ETB, NRA-NETB.  Corporation: DC, RFC, NRFC.</t>
  </si>
  <si>
    <t xml:space="preserve">2. WHERE is the income from?</t>
  </si>
  <si>
    <t xml:space="preserve">Only RC and DC are taxed on income from everywhere. Everyone else is taxed only on Philippine-source income.</t>
  </si>
  <si>
    <t xml:space="preserve">Inside the Philippines / outside the Philippines.</t>
  </si>
  <si>
    <t xml:space="preserve">3. WHAT KIND of income or transaction?</t>
  </si>
  <si>
    <t xml:space="preserve">Decides the regime.</t>
  </si>
  <si>
    <t xml:space="preserve">Regular (graduated table or RCIT)  /  Final tax  /  Capital gains tax  /  Special rate  /  Exempt.</t>
  </si>
  <si>
    <t xml:space="preserve">ADDED BY ME (not in your original; double-check): The sentence 'only RC and DC are taxed on worldwide income' is not stated in your original sheet, but it is the key to most classification questions. Memorize it.</t>
  </si>
  <si>
    <t xml:space="preserve">EXAM-DAY RULES OF THUMB</t>
  </si>
  <si>
    <t xml:space="preserve">•  The graduated income tax table is ALWAYS given in the board exam (per your own note). Do not waste memory on it; memorize the HOW, not the table.</t>
  </si>
  <si>
    <t xml:space="preserve">•  For corporations: use 25% RCIT for regular corporations and 20% for MSMEs. No need to pro-rate (your own note).</t>
  </si>
  <si>
    <t xml:space="preserve">•  Check the DATE of the facts. CREATE, EOPTA, CMEPA and CREATE MORE changed many rates. 'What is the rate now?' is a favourite question.</t>
  </si>
  <si>
    <t xml:space="preserve">•  Final tax means FINAL: the income is not added to the tax table, and is not in gross income for regular tax purposes.</t>
  </si>
  <si>
    <t xml:space="preserve">•  Exempt is not the same as zero-rated (VAT). Zero-rated can still claim input VAT. Exempt cannot.</t>
  </si>
  <si>
    <t xml:space="preserve">•  If two answer choices differ by one number, that number is probably the thing the examiner is testing. Go to the RATES tab in your head.</t>
  </si>
  <si>
    <t xml:space="preserve">IF YOU ONLY REMEMBER 5 THINGS FROM THIS TAB</t>
  </si>
  <si>
    <t xml:space="preserve">1.  Ask WHO, WHERE, WHAT KIND, in that order, every time.</t>
  </si>
  <si>
    <t xml:space="preserve">2.  Only RC and DC are taxed on worldwide income; everyone else only on Philippine-source income.</t>
  </si>
  <si>
    <t xml:space="preserve">3.  Corporate: 25% (RCIT, on net), 20% (small corporations), 2% (MCIT, on gross).</t>
  </si>
  <si>
    <t xml:space="preserve">4.  Individual: the table climbs 0, 15, 20, 25, 30, 35, in steps of 5.</t>
  </si>
  <si>
    <t xml:space="preserve">5.  VAT is 12%; the VAT threshold is P3M; other percentage tax is 3%.</t>
  </si>
  <si>
    <t xml:space="preserve">RATES CHEAT SHEET - every number on one page</t>
  </si>
  <si>
    <t xml:space="preserve">THE BIG IDEA (read this first): Print this tab. Every row is: WHAT it is, the RATE or NUMBER, and a trick to remember it. Red bold = memorize. Blue = added by me (verify).</t>
  </si>
  <si>
    <t xml:space="preserve">A. INDIVIDUAL INCOME TAX (graduated table, 2023 onward - the exam will give you this table)</t>
  </si>
  <si>
    <t xml:space="preserve">Net taxable income</t>
  </si>
  <si>
    <t xml:space="preserve">Tax</t>
  </si>
  <si>
    <t xml:space="preserve">How the number is built</t>
  </si>
  <si>
    <t xml:space="preserve">Hook</t>
  </si>
  <si>
    <t xml:space="preserve">Up to P250,000</t>
  </si>
  <si>
    <t xml:space="preserve">0%</t>
  </si>
  <si>
    <t xml:space="preserve">Free zone</t>
  </si>
  <si>
    <t xml:space="preserve">Zero up to 250</t>
  </si>
  <si>
    <t xml:space="preserve">Over P250,000 to P400,000</t>
  </si>
  <si>
    <t xml:space="preserve">15% of the excess over P250,000</t>
  </si>
  <si>
    <t xml:space="preserve">Start at 15</t>
  </si>
  <si>
    <t xml:space="preserve">Over P400,000 to P800,000</t>
  </si>
  <si>
    <t xml:space="preserve">P22,500 + 20% of excess over P400,000</t>
  </si>
  <si>
    <t xml:space="preserve">15% x 150,000 = 22,500</t>
  </si>
  <si>
    <t xml:space="preserve">Step up by 5</t>
  </si>
  <si>
    <t xml:space="preserve">Over P800,000 to P2,000,000</t>
  </si>
  <si>
    <t xml:space="preserve">P102,500 + 25% of excess over P800,000</t>
  </si>
  <si>
    <t xml:space="preserve">22,500 + (20% x 400,000 = 80,000) = 102,500</t>
  </si>
  <si>
    <t xml:space="preserve">Over P2,000,000 to P8,000,000</t>
  </si>
  <si>
    <t xml:space="preserve">P402,500 + 30% of excess over P2,000,000</t>
  </si>
  <si>
    <t xml:space="preserve">102,500 + (25% x 1,200,000 = 300,000) = 402,500</t>
  </si>
  <si>
    <t xml:space="preserve">Over P8,000,000</t>
  </si>
  <si>
    <t xml:space="preserve">P2,202,500 + 35% of excess over P8,000,000</t>
  </si>
  <si>
    <t xml:space="preserve">402,500 + (30% x 6,000,000 = 1,800,000) = 2,202,500</t>
  </si>
  <si>
    <t xml:space="preserve">Top rate 35</t>
  </si>
  <si>
    <t xml:space="preserve">HOOK: Ceilings are '250, 4, 8, 2M, 8M' (two-fifty, four, eight, two-mil, eight-mil). Rates are 0-15-20-25-30-35: add 5 each step. You never need to memorize the fixed amounts; you can rebuild them as shown in column C.</t>
  </si>
  <si>
    <t xml:space="preserve">Option for self-employed</t>
  </si>
  <si>
    <t xml:space="preserve">Rule</t>
  </si>
  <si>
    <t xml:space="preserve">Number</t>
  </si>
  <si>
    <t xml:space="preserve">8% option (flat)</t>
  </si>
  <si>
    <t xml:space="preserve">Instead of the graduated table, pay 8% of gross sales/receipts (plus other non-operating income) in excess of P250,000. Allowed only if gross sales/receipts do not exceed the VAT threshold.</t>
  </si>
  <si>
    <t xml:space="preserve">8%; P250,000 free; P3M cap</t>
  </si>
  <si>
    <t xml:space="preserve">Eight percent, no deductions</t>
  </si>
  <si>
    <t xml:space="preserve">8% option for MIXED income earner</t>
  </si>
  <si>
    <t xml:space="preserve">The P250,000 is NOT deducted from business income (it is already used by the compensation income). 8% on all gross sales.</t>
  </si>
  <si>
    <t xml:space="preserve">8% of full gross</t>
  </si>
  <si>
    <t xml:space="preserve">Employee + business: no P250k twice</t>
  </si>
  <si>
    <t xml:space="preserve">Optional standard deduction (OSD)</t>
  </si>
  <si>
    <t xml:space="preserve">Individuals: 40% of GROSS SALES/RECEIPTS. Corporations: 40% of GROSS INCOME.</t>
  </si>
  <si>
    <t xml:space="preserve">40%</t>
  </si>
  <si>
    <t xml:space="preserve">Forty is the Optional number</t>
  </si>
  <si>
    <t xml:space="preserve">B. FINAL WITHHOLDING TAX ON INDIVIDUALS (RC, NRC, RA, NRA-ETB / NRA-NETB)</t>
  </si>
  <si>
    <t xml:space="preserve">Income</t>
  </si>
  <si>
    <t xml:space="preserve">RC, NRC, RA   |   NRA-ETB</t>
  </si>
  <si>
    <t xml:space="preserve">NRA-NETB</t>
  </si>
  <si>
    <t xml:space="preserve">Interest on PH bank deposits, deposit substitutes, trust funds (all currencies, per CMEPA update)</t>
  </si>
  <si>
    <t xml:space="preserve">20%  |  20%</t>
  </si>
  <si>
    <t xml:space="preserve">25%</t>
  </si>
  <si>
    <t xml:space="preserve">Twenty for Interest</t>
  </si>
  <si>
    <t xml:space="preserve">Royalties: books, literary works, musical compositions</t>
  </si>
  <si>
    <t xml:space="preserve">10%  |  10%</t>
  </si>
  <si>
    <t xml:space="preserve">Books and Music get 10</t>
  </si>
  <si>
    <t xml:space="preserve">Royalties: all others</t>
  </si>
  <si>
    <t xml:space="preserve">Prizes P10,000 or less</t>
  </si>
  <si>
    <t xml:space="preserve">Regular: add to income and use TAX TABLE  |  same</t>
  </si>
  <si>
    <t xml:space="preserve">Small prize = table</t>
  </si>
  <si>
    <t xml:space="preserve">Prizes over P10,000</t>
  </si>
  <si>
    <t xml:space="preserve">Big prize = 20</t>
  </si>
  <si>
    <t xml:space="preserve">PCSO and Lotto winnings P10,000 or less</t>
  </si>
  <si>
    <t xml:space="preserve">EXEMPT  |  EXEMPT</t>
  </si>
  <si>
    <t xml:space="preserve">Small lotto is free</t>
  </si>
  <si>
    <t xml:space="preserve">PCSO and Lotto winnings over P10,000</t>
  </si>
  <si>
    <t xml:space="preserve">Other winnings</t>
  </si>
  <si>
    <t xml:space="preserve">Dividends from a domestic corporation</t>
  </si>
  <si>
    <t xml:space="preserve">10% (RC, NRC, RA)  |  20% (NRA-ETB)</t>
  </si>
  <si>
    <t xml:space="preserve">10 for citizens and residents</t>
  </si>
  <si>
    <t xml:space="preserve">Share in distributable net income AFTER TAX of a partnership (not a GPP), JV, association</t>
  </si>
  <si>
    <t xml:space="preserve">Same as dividends</t>
  </si>
  <si>
    <t xml:space="preserve">HOOK: NRA-NETB (not engaged in trade or business) is simple: 25% on EVERYTHING from the Philippines. Citizens and residents pay 20% on most things, but 10% on books/music royalties, dividends and partnership shares.</t>
  </si>
  <si>
    <t xml:space="preserve">C. CREDITABLE (EXPANDED) WITHHOLDING TAX - this is a PREPAYMENT, not the final tax</t>
  </si>
  <si>
    <t xml:space="preserve">Payment</t>
  </si>
  <si>
    <t xml:space="preserve">Rate</t>
  </si>
  <si>
    <t xml:space="preserve">Condition</t>
  </si>
  <si>
    <t xml:space="preserve">Professional fees paid to INDIVIDUALS</t>
  </si>
  <si>
    <t xml:space="preserve">5%  or  10%</t>
  </si>
  <si>
    <t xml:space="preserve">5% if annual income is P3M or less; 10% if over P3M</t>
  </si>
  <si>
    <t xml:space="preserve">Small 5, big 10; line at 3M</t>
  </si>
  <si>
    <t xml:space="preserve">Professional fees paid to CORPORATIONS</t>
  </si>
  <si>
    <t xml:space="preserve">10%  or  15%</t>
  </si>
  <si>
    <t xml:space="preserve">10% if income is P720,000 or less; 15% if over</t>
  </si>
  <si>
    <t xml:space="preserve">Add 5 to the individual rates; line at 720k</t>
  </si>
  <si>
    <t xml:space="preserve">Rentals of real and personal property</t>
  </si>
  <si>
    <t xml:space="preserve">5%</t>
  </si>
  <si>
    <t xml:space="preserve">On gross rentals</t>
  </si>
  <si>
    <t xml:space="preserve">Rent = 5</t>
  </si>
  <si>
    <t xml:space="preserve">Income payments to contractors</t>
  </si>
  <si>
    <t xml:space="preserve">2%</t>
  </si>
  <si>
    <t xml:space="preserve">On gross payments (general engineering, general building, specialty and other contractors)</t>
  </si>
  <si>
    <t xml:space="preserve">Contractor = 2 (two hands)</t>
  </si>
  <si>
    <t xml:space="preserve">Income payments to beneficiaries of estates and trusts</t>
  </si>
  <si>
    <t xml:space="preserve">15%</t>
  </si>
  <si>
    <t xml:space="preserve">On income distribution</t>
  </si>
  <si>
    <t xml:space="preserve">Income payments to partners of a general professional partnership (GPP)</t>
  </si>
  <si>
    <t xml:space="preserve">10% if P720,000 or less; 15% if over</t>
  </si>
  <si>
    <t xml:space="preserve">Partner = same as corp professionals</t>
  </si>
  <si>
    <t xml:space="preserve">D. CAPITAL GAINS AND STOCK TRADING</t>
  </si>
  <si>
    <t xml:space="preserve">Transaction</t>
  </si>
  <si>
    <t xml:space="preserve">Base / key rule</t>
  </si>
  <si>
    <t xml:space="preserve">Sale of UNLISTED shares of a domestic corporation (capital asset)</t>
  </si>
  <si>
    <t xml:space="preserve">NET capital gain; must be a gain; with year-end consolidation</t>
  </si>
  <si>
    <t xml:space="preserve">Fifteen for shares (net)</t>
  </si>
  <si>
    <t xml:space="preserve">Sale of REAL PROPERTY in the Philippines (capital asset)</t>
  </si>
  <si>
    <t xml:space="preserve">6%</t>
  </si>
  <si>
    <t xml:space="preserve">Higher of selling price or FMV (zonal); on GROSS, whether gain or loss; per transaction</t>
  </si>
  <si>
    <t xml:space="preserve">Six for Soil (gross, higher of two)</t>
  </si>
  <si>
    <t xml:space="preserve">Sale of LISTED shares through the stock exchange or IPO (a percentage tax, not CGT)</t>
  </si>
  <si>
    <t xml:space="preserve">0.1% (one-tenth of 1%)</t>
  </si>
  <si>
    <t xml:space="preserve">Gross selling price. It used to be 6/10 of 1% (0.6%); reduced by CMEPA</t>
  </si>
  <si>
    <t xml:space="preserve">Point-one now; used to be point-six</t>
  </si>
  <si>
    <t xml:space="preserve">E. CORPORATIONS</t>
  </si>
  <si>
    <t xml:space="preserve">Item</t>
  </si>
  <si>
    <t xml:space="preserve">Base</t>
  </si>
  <si>
    <t xml:space="preserve">RCIT - domestic (DC) and resident foreign (RFC)</t>
  </si>
  <si>
    <t xml:space="preserve">Taxable income (net)</t>
  </si>
  <si>
    <t xml:space="preserve">25 on net</t>
  </si>
  <si>
    <t xml:space="preserve">RCIT - small domestic corporation</t>
  </si>
  <si>
    <t xml:space="preserve">20%</t>
  </si>
  <si>
    <t xml:space="preserve">Net taxable income P5M or below AND total assets (excluding land) P100M or below</t>
  </si>
  <si>
    <t xml:space="preserve">Both tests: 5M income, 100M assets</t>
  </si>
  <si>
    <t xml:space="preserve">NRFC (non-resident foreign)</t>
  </si>
  <si>
    <t xml:space="preserve">GROSS income, as a final tax</t>
  </si>
  <si>
    <t xml:space="preserve">25 on gross</t>
  </si>
  <si>
    <t xml:space="preserve">MCIT (DC and RFC)</t>
  </si>
  <si>
    <t xml:space="preserve">GROSS income</t>
  </si>
  <si>
    <t xml:space="preserve">2 on gross; RCIT vs MCIT: pay the HIGHER</t>
  </si>
  <si>
    <t xml:space="preserve">Proprietary educational institutions and non-profit hospitals</t>
  </si>
  <si>
    <t xml:space="preserve">10%</t>
  </si>
  <si>
    <t xml:space="preserve">Net income, if unrelated income is not more than 50% of total gross income</t>
  </si>
  <si>
    <t xml:space="preserve">Ten if 50% or less unrelated</t>
  </si>
  <si>
    <t xml:space="preserve">International carriers (Philippine Billings)</t>
  </si>
  <si>
    <t xml:space="preserve">2.5%</t>
  </si>
  <si>
    <t xml:space="preserve">Gross Philippine Billings (GPB) - RFC</t>
  </si>
  <si>
    <t xml:space="preserve">Two-and-a-half</t>
  </si>
  <si>
    <t xml:space="preserve">Non-resident owner/lessor/distributor of cinematographic films</t>
  </si>
  <si>
    <t xml:space="preserve">Gross income - NRFC</t>
  </si>
  <si>
    <t xml:space="preserve">Film = 25</t>
  </si>
  <si>
    <t xml:space="preserve">Non-resident lessors of aircraft, machinery, equipment</t>
  </si>
  <si>
    <t xml:space="preserve">7.5%</t>
  </si>
  <si>
    <t xml:space="preserve">Gross rentals, charters, fees - NRFC</t>
  </si>
  <si>
    <t xml:space="preserve">Seven-and-a-half</t>
  </si>
  <si>
    <t xml:space="preserve">Non-resident owners of vessels chartered by Philippine nationals</t>
  </si>
  <si>
    <t xml:space="preserve">4.5%</t>
  </si>
  <si>
    <t xml:space="preserve">Gross rentals and charter fees - NRFC</t>
  </si>
  <si>
    <t xml:space="preserve">Four-and-a-half</t>
  </si>
  <si>
    <t xml:space="preserve">Branch profit remittance (RFC)</t>
  </si>
  <si>
    <t xml:space="preserve">Total profits applied or earmarked for remittance, no deduction for the tax itself</t>
  </si>
  <si>
    <t xml:space="preserve">Fifteen</t>
  </si>
  <si>
    <t xml:space="preserve">ROHQ (earning PH income) and OBU/FCDU income</t>
  </si>
  <si>
    <t xml:space="preserve">25% RCIT + 2% MCIT</t>
  </si>
  <si>
    <t xml:space="preserve">Treated like a regular RFC now (after CREATE)</t>
  </si>
  <si>
    <t xml:space="preserve">Old special rates are gone</t>
  </si>
  <si>
    <t xml:space="preserve">Regional or area headquarters (RHQ, earning NO PH income)</t>
  </si>
  <si>
    <t xml:space="preserve">Exempt</t>
  </si>
  <si>
    <t xml:space="preserve">Supervisory, communications, coordinating center</t>
  </si>
  <si>
    <t xml:space="preserve">No PH income = no PH tax</t>
  </si>
  <si>
    <t xml:space="preserve">Interest on bank deposits (DC, RFC)</t>
  </si>
  <si>
    <t xml:space="preserve">FINAL tax (NRFC: 25%)</t>
  </si>
  <si>
    <t xml:space="preserve">Royalties from PH sources (DC, RFC)</t>
  </si>
  <si>
    <t xml:space="preserve">F. DIVIDENDS - the quick view (full grid is on the Dividends tab)</t>
  </si>
  <si>
    <t xml:space="preserve">From a domestic corporation to...</t>
  </si>
  <si>
    <t xml:space="preserve">Note</t>
  </si>
  <si>
    <t xml:space="preserve">Resident citizen, non-resident citizen, resident alien</t>
  </si>
  <si>
    <t xml:space="preserve">Final</t>
  </si>
  <si>
    <t xml:space="preserve">10 for the three that can live here</t>
  </si>
  <si>
    <t xml:space="preserve">Non-resident alien engaged in business (NRA-ETB)</t>
  </si>
  <si>
    <t xml:space="preserve">Twice</t>
  </si>
  <si>
    <t xml:space="preserve">Non-resident alien NOT engaged (NRA-NETB)</t>
  </si>
  <si>
    <t xml:space="preserve">The NETB always 25</t>
  </si>
  <si>
    <t xml:space="preserve">Domestic corporation or resident foreign corporation</t>
  </si>
  <si>
    <t xml:space="preserve">Inter-corporate dividend</t>
  </si>
  <si>
    <t xml:space="preserve">Corp to corp: free</t>
  </si>
  <si>
    <t xml:space="preserve">Non-resident foreign corporation</t>
  </si>
  <si>
    <t xml:space="preserve">15% or 25%</t>
  </si>
  <si>
    <t xml:space="preserve">15% if the home country gives tax sparing credit; 25% if not</t>
  </si>
  <si>
    <t xml:space="preserve">Sparing = 15</t>
  </si>
  <si>
    <t xml:space="preserve">G. ESTATE TAX, DONOR'S TAX, FRINGE BENEFITS TAX</t>
  </si>
  <si>
    <t xml:space="preserve">Key rule</t>
  </si>
  <si>
    <t xml:space="preserve">Estate tax</t>
  </si>
  <si>
    <t xml:space="preserve">6% flat</t>
  </si>
  <si>
    <t xml:space="preserve">On the net taxable estate; return due within 1 year from death</t>
  </si>
  <si>
    <t xml:space="preserve">Six and one year</t>
  </si>
  <si>
    <t xml:space="preserve">Estate: standard deduction</t>
  </si>
  <si>
    <t xml:space="preserve">P5,000,000</t>
  </si>
  <si>
    <t xml:space="preserve">Automatic</t>
  </si>
  <si>
    <t xml:space="preserve">Five Million, free</t>
  </si>
  <si>
    <t xml:space="preserve">Estate: family home</t>
  </si>
  <si>
    <t xml:space="preserve">Up to P10,000,000</t>
  </si>
  <si>
    <t xml:space="preserve">Must be actual family home, certified by barangay captain, included in gross estate</t>
  </si>
  <si>
    <t xml:space="preserve">Ten Million cap</t>
  </si>
  <si>
    <t xml:space="preserve">Estate: vanishing deduction</t>
  </si>
  <si>
    <t xml:space="preserve">100% / 80% / 60% / 40% / 20%</t>
  </si>
  <si>
    <t xml:space="preserve">Death within 1 / 2 / 3 / 4 / 5 years of getting the property</t>
  </si>
  <si>
    <t xml:space="preserve">Lose 20 points a year</t>
  </si>
  <si>
    <t xml:space="preserve">Donor's tax</t>
  </si>
  <si>
    <t xml:space="preserve">On TOTAL gifts in a calendar year over P250,000; return due within 30 days after the gift</t>
  </si>
  <si>
    <t xml:space="preserve">Six over two-fifty</t>
  </si>
  <si>
    <t xml:space="preserve">Fringe benefits tax (FBT)</t>
  </si>
  <si>
    <t xml:space="preserve">35%</t>
  </si>
  <si>
    <t xml:space="preserve">Of the GROSSED-UP monetary value (monetary value divided by 65%)</t>
  </si>
  <si>
    <t xml:space="preserve">35 + 65 = 100</t>
  </si>
  <si>
    <t xml:space="preserve">H. VALUE-ADDED TAX AND PERCENTAGE TAXES</t>
  </si>
  <si>
    <t xml:space="preserve">VAT rate</t>
  </si>
  <si>
    <t xml:space="preserve">12%</t>
  </si>
  <si>
    <t xml:space="preserve">Output VAT less Input VAT = VAT payable. VAT is not charged on exempt sales; zero-rated is charged at 0%</t>
  </si>
  <si>
    <t xml:space="preserve">Dozen</t>
  </si>
  <si>
    <t xml:space="preserve">VAT threshold (sales or leases of goods/services)</t>
  </si>
  <si>
    <t xml:space="preserve">P3,000,000</t>
  </si>
  <si>
    <t xml:space="preserve">Gross annual sales not over P3M are VAT-exempt (then pay 3% OPT unless on the 8% option). Adjusted by CPI every 3 years</t>
  </si>
  <si>
    <t xml:space="preserve">Three million</t>
  </si>
  <si>
    <t xml:space="preserve">VAT exemption: sale of house and lot / residential dwellings</t>
  </si>
  <si>
    <t xml:space="preserve">P3,600,000 and below</t>
  </si>
  <si>
    <t xml:space="preserve">Previously P3,199,200. Adjusted by CPI every 3 years</t>
  </si>
  <si>
    <t xml:space="preserve">Three-six</t>
  </si>
  <si>
    <t xml:space="preserve">VAT exemption: residential lease</t>
  </si>
  <si>
    <t xml:space="preserve">P15,000 or less per month</t>
  </si>
  <si>
    <t xml:space="preserve">Per unit</t>
  </si>
  <si>
    <t xml:space="preserve">Fifteen thousand</t>
  </si>
  <si>
    <t xml:space="preserve">VAT exemption: cooperative share capital</t>
  </si>
  <si>
    <t xml:space="preserve">P15,000 or less per member</t>
  </si>
  <si>
    <t xml:space="preserve">Non-agri, non-electric, non-credit cooperatives registered with CDA</t>
  </si>
  <si>
    <t xml:space="preserve">Quarterly VAT return (2550Q)</t>
  </si>
  <si>
    <t xml:space="preserve">25th day after quarter-end</t>
  </si>
  <si>
    <t xml:space="preserve">EOPTA: quarterly ONLY (monthly VAT filing removed)</t>
  </si>
  <si>
    <t xml:space="preserve">Twenty-five</t>
  </si>
  <si>
    <t xml:space="preserve">Other percentage tax (OPT)</t>
  </si>
  <si>
    <t xml:space="preserve">Sec. 116 - persons exempt from VAT (not VAT-registered)</t>
  </si>
  <si>
    <t xml:space="preserve">3%</t>
  </si>
  <si>
    <t xml:space="preserve">Gross quarterly sales</t>
  </si>
  <si>
    <t xml:space="preserve">116 = 3</t>
  </si>
  <si>
    <t xml:space="preserve">Sec. 117 - domestic carriers and garage keepers</t>
  </si>
  <si>
    <t xml:space="preserve">Gross sales</t>
  </si>
  <si>
    <t xml:space="preserve">Sec. 118 - international air and shipping carriers</t>
  </si>
  <si>
    <t xml:space="preserve">Sec. 119 - franchise: gas and water utilities</t>
  </si>
  <si>
    <t xml:space="preserve">Gas and water: 2</t>
  </si>
  <si>
    <t xml:space="preserve">Sec. 119 - franchise: radio and TV broadcasting</t>
  </si>
  <si>
    <t xml:space="preserve">Sec. 120 - overseas dispatch, message or call from the Philippines</t>
  </si>
  <si>
    <t xml:space="preserve">Amount paid for the service</t>
  </si>
  <si>
    <t xml:space="preserve">Overseas call = 10</t>
  </si>
  <si>
    <t xml:space="preserve">Sec. 121 - banks and quasi-banks: interest, commissions, discounts on lending</t>
  </si>
  <si>
    <t xml:space="preserve">5% if maturity is 5 years or less;  1% if more than 5 years</t>
  </si>
  <si>
    <t xml:space="preserve">Gross receipts</t>
  </si>
  <si>
    <t xml:space="preserve">Long loans are taxed less</t>
  </si>
  <si>
    <t xml:space="preserve">Sec. 121 - banks: dividends and equity shares</t>
  </si>
  <si>
    <t xml:space="preserve">Sec. 121 - banks: royalties, rentals, profits from exchange, and net trading gains</t>
  </si>
  <si>
    <t xml:space="preserve">7%</t>
  </si>
  <si>
    <t xml:space="preserve">Seven</t>
  </si>
  <si>
    <t xml:space="preserve">Sec. 122 - other non-bank financial intermediaries</t>
  </si>
  <si>
    <t xml:space="preserve">5% (1% if lending maturity is over 5 years)</t>
  </si>
  <si>
    <t xml:space="preserve">Sec. 123 - life insurance premiums</t>
  </si>
  <si>
    <t xml:space="preserve">Total premiums collected</t>
  </si>
  <si>
    <t xml:space="preserve">Life = 2</t>
  </si>
  <si>
    <t xml:space="preserve">Sec. 124 - agents of foreign insurance companies</t>
  </si>
  <si>
    <t xml:space="preserve">4% (agents);  5% (owners insuring directly abroad)</t>
  </si>
  <si>
    <t xml:space="preserve">Premiums collected / paid</t>
  </si>
  <si>
    <t xml:space="preserve">Agent 4, Owner 5</t>
  </si>
  <si>
    <t xml:space="preserve">Sec. 125 - amusement: boxing exhibitions</t>
  </si>
  <si>
    <t xml:space="preserve">10-15-18-30 =  Box, Ball, Booze, Bet</t>
  </si>
  <si>
    <t xml:space="preserve">Sec. 125 - amusement: professional basketball games</t>
  </si>
  <si>
    <t xml:space="preserve">Sec. 125 - amusement: cockpits, cabarets, night/day clubs</t>
  </si>
  <si>
    <t xml:space="preserve">18%</t>
  </si>
  <si>
    <t xml:space="preserve">Sec. 125 - amusement: jai-alai and racetracks</t>
  </si>
  <si>
    <t xml:space="preserve">30%</t>
  </si>
  <si>
    <t xml:space="preserve">Sec. 126 - winnings: owner of the winning horse</t>
  </si>
  <si>
    <t xml:space="preserve">Gross winnings</t>
  </si>
  <si>
    <t xml:space="preserve">Sec. 126 - winnings: bettors (ordinary / special like double, forecast, quinella, trifecta)</t>
  </si>
  <si>
    <t xml:space="preserve">10% / 4%</t>
  </si>
  <si>
    <t xml:space="preserve">Net winnings</t>
  </si>
  <si>
    <t xml:space="preserve">Special = smaller (4)</t>
  </si>
  <si>
    <t xml:space="preserve">Sec. 127 - listed shares sold through the stock exchange or IPO</t>
  </si>
  <si>
    <t xml:space="preserve">0.1%</t>
  </si>
  <si>
    <t xml:space="preserve">Gross selling price (was 0.6%)</t>
  </si>
  <si>
    <t xml:space="preserve">POGO gaming (Sec. 125-A, from your EOPTA note)</t>
  </si>
  <si>
    <t xml:space="preserve">5% gaming tax</t>
  </si>
  <si>
    <t xml:space="preserve">In lieu of all other internal revenue and local taxes on gaming income</t>
  </si>
  <si>
    <t xml:space="preserve">Five</t>
  </si>
  <si>
    <t xml:space="preserve">I. DOCUMENTARY STAMP TAX (DST)</t>
  </si>
  <si>
    <t xml:space="preserve">Document</t>
  </si>
  <si>
    <t xml:space="preserve">In plain words</t>
  </si>
  <si>
    <t xml:space="preserve">Original issuance of shares (with par)</t>
  </si>
  <si>
    <t xml:space="preserve">0.75% of par value</t>
  </si>
  <si>
    <t xml:space="preserve">P1.50 per P200 par</t>
  </si>
  <si>
    <t xml:space="preserve">Three-quarters of one percent</t>
  </si>
  <si>
    <t xml:space="preserve">Debt instruments</t>
  </si>
  <si>
    <t xml:space="preserve">P1.50 per P200 (0.75%)</t>
  </si>
  <si>
    <t xml:space="preserve">Same as shares</t>
  </si>
  <si>
    <t xml:space="preserve">Same 1.50</t>
  </si>
  <si>
    <t xml:space="preserve">Deeds of sale and conveyances of real property</t>
  </si>
  <si>
    <t xml:space="preserve">P15 per P1,000 (1.5%)</t>
  </si>
  <si>
    <t xml:space="preserve">Twice the shares rate</t>
  </si>
  <si>
    <t xml:space="preserve">Fifteen per thousand</t>
  </si>
  <si>
    <t xml:space="preserve">J. LOCAL TAXES (LGC)</t>
  </si>
  <si>
    <t xml:space="preserve">Who may levy</t>
  </si>
  <si>
    <t xml:space="preserve">Property transfer tax</t>
  </si>
  <si>
    <t xml:space="preserve">50% of 1% (half of one percent)</t>
  </si>
  <si>
    <t xml:space="preserve">Provinces; higher of total consideration or FMV</t>
  </si>
  <si>
    <t xml:space="preserve">Half-of-one-percent trio: Transfer, Print, Franchise</t>
  </si>
  <si>
    <t xml:space="preserve">Printing and publication tax</t>
  </si>
  <si>
    <t xml:space="preserve">50% of 1%</t>
  </si>
  <si>
    <t xml:space="preserve">Provinces; gross annual receipts</t>
  </si>
  <si>
    <t xml:space="preserve">Franchise tax</t>
  </si>
  <si>
    <t xml:space="preserve">Sand, gravel and other quarry resources</t>
  </si>
  <si>
    <t xml:space="preserve">10% of fair market value per cubic meter</t>
  </si>
  <si>
    <t xml:space="preserve">Provinces</t>
  </si>
  <si>
    <t xml:space="preserve">Ten percent per cubic meter</t>
  </si>
  <si>
    <t xml:space="preserve">Professional tax</t>
  </si>
  <si>
    <t xml:space="preserve">Not more than P300</t>
  </si>
  <si>
    <t xml:space="preserve">Professional = 300</t>
  </si>
  <si>
    <t xml:space="preserve">Amusement tax</t>
  </si>
  <si>
    <t xml:space="preserve">10% of admission fees (was 30% before RA 9640)</t>
  </si>
  <si>
    <t xml:space="preserve">Delivery vans and trucks</t>
  </si>
  <si>
    <t xml:space="preserve">Not more than P500</t>
  </si>
  <si>
    <t xml:space="preserve">Trucks = 500</t>
  </si>
  <si>
    <t xml:space="preserve">Community tax</t>
  </si>
  <si>
    <t xml:space="preserve">Municipalities, cities, barangays collect</t>
  </si>
  <si>
    <t xml:space="preserve">Everyone 18+ with a job, business, or property</t>
  </si>
  <si>
    <t xml:space="preserve">Real property tax: assessment levels, LAND</t>
  </si>
  <si>
    <t xml:space="preserve">Residential 20%; Agricultural 40%; Commercial, Industrial, Mineral 50%; Timberland 20%</t>
  </si>
  <si>
    <t xml:space="preserve">20-40-50-50-50-20</t>
  </si>
  <si>
    <t xml:space="preserve">K. TAX PENALTIES AND REMEDIES</t>
  </si>
  <si>
    <t xml:space="preserve">Civil penalty: surcharge (regular)</t>
  </si>
  <si>
    <t xml:space="preserve">Late filing/payment, failure to pay deficiency on time, failure to pay part of tax</t>
  </si>
  <si>
    <t xml:space="preserve">Quarter</t>
  </si>
  <si>
    <t xml:space="preserve">Civil penalty: surcharge (willful)</t>
  </si>
  <si>
    <t xml:space="preserve">50%</t>
  </si>
  <si>
    <t xml:space="preserve">Willful neglect to file; false or fraudulent return</t>
  </si>
  <si>
    <t xml:space="preserve">Half</t>
  </si>
  <si>
    <t xml:space="preserve">Surcharge for micro and small taxpayers (EOPTA)</t>
  </si>
  <si>
    <t xml:space="preserve">10% (was 25%)</t>
  </si>
  <si>
    <t xml:space="preserve">Micro: gross sales under P3M. Small: P3M to P20M</t>
  </si>
  <si>
    <t xml:space="preserve">Gentle rates for small guys</t>
  </si>
  <si>
    <t xml:space="preserve">Interest on deficiency and delinquency</t>
  </si>
  <si>
    <t xml:space="preserve">EOPTA: 6% for micro and small taxpayers</t>
  </si>
  <si>
    <t xml:space="preserve">Twelve; six for small</t>
  </si>
  <si>
    <t xml:space="preserve">Preservation of books of accounts</t>
  </si>
  <si>
    <t xml:space="preserve">5 years (was 10)</t>
  </si>
  <si>
    <t xml:space="preserve">EOPTA</t>
  </si>
  <si>
    <t xml:space="preserve">Half the time</t>
  </si>
  <si>
    <t xml:space="preserve">BIR to act on refund application</t>
  </si>
  <si>
    <t xml:space="preserve">180 days</t>
  </si>
  <si>
    <t xml:space="preserve">From submission of documents (EOPTA)</t>
  </si>
  <si>
    <t xml:space="preserve">Appeal to Court of Tax Appeals on refund</t>
  </si>
  <si>
    <t xml:space="preserve">30 days</t>
  </si>
  <si>
    <t xml:space="preserve">From receipt of denial or lapse of the 180 days</t>
  </si>
  <si>
    <t xml:space="preserve">Filing in the wrong RDO (wrong venue)</t>
  </si>
  <si>
    <t xml:space="preserve">No surcharge now (was 25%)</t>
  </si>
  <si>
    <t xml:space="preserve">L. SENIOR CITIZENS, PWD, BMBE AND CREATE MORE</t>
  </si>
  <si>
    <t xml:space="preserve">Senior citizens and PWDs: discount + VAT exemption</t>
  </si>
  <si>
    <t xml:space="preserve">On covered goods and services for their own use</t>
  </si>
  <si>
    <t xml:space="preserve">Twenty</t>
  </si>
  <si>
    <t xml:space="preserve">Senior citizens and PWDs: basic necessities and prime commodities</t>
  </si>
  <si>
    <t xml:space="preserve">5% discount</t>
  </si>
  <si>
    <t xml:space="preserve">Seniors: groceries up to P2,500 per week</t>
  </si>
  <si>
    <t xml:space="preserve">Senior citizens: water/electricity</t>
  </si>
  <si>
    <t xml:space="preserve">Up to 100 kWh and 30 cubic meters, in their name</t>
  </si>
  <si>
    <t xml:space="preserve">BMBE</t>
  </si>
  <si>
    <t xml:space="preserve">Total assets of P3M or less (revoked if exceeded)</t>
  </si>
  <si>
    <t xml:space="preserve">Income tax exempt</t>
  </si>
  <si>
    <t xml:space="preserve">Three million again</t>
  </si>
  <si>
    <t xml:space="preserve">CREATE MORE: SCIT</t>
  </si>
  <si>
    <t xml:space="preserve">5% of gross income</t>
  </si>
  <si>
    <t xml:space="preserve">Only registered EXPORT enterprises; in lieu of all national and local taxes</t>
  </si>
  <si>
    <t xml:space="preserve">Five on gross</t>
  </si>
  <si>
    <t xml:space="preserve">CREATE MORE: EDR</t>
  </si>
  <si>
    <t xml:space="preserve">20% RCIT with extra deductions</t>
  </si>
  <si>
    <t xml:space="preserve">Both export and domestic enterprises</t>
  </si>
  <si>
    <t xml:space="preserve">CREATE MORE: local tax for RBEs on ITH or EDR</t>
  </si>
  <si>
    <t xml:space="preserve">2% of gross income</t>
  </si>
  <si>
    <t xml:space="preserve">In lieu of all local taxes; NOT imposed if on SCIT</t>
  </si>
  <si>
    <t xml:space="preserve">Two on gross</t>
  </si>
  <si>
    <t xml:space="preserve">MEMORY HOOKS - the cheat codes</t>
  </si>
  <si>
    <t xml:space="preserve">THE BIG IDEA (read this first): Your brain remembers stories, rhymes and patterns far better than raw numbers. Each trick below turns a hard number into something silly or logical. Silly works. Say them out loud.</t>
  </si>
  <si>
    <t xml:space="preserve">THE PATTERNS (learn the pattern, not each number)</t>
  </si>
  <si>
    <t xml:space="preserve">Topic</t>
  </si>
  <si>
    <t xml:space="preserve">The trick</t>
  </si>
  <si>
    <t xml:space="preserve">What you recall</t>
  </si>
  <si>
    <t xml:space="preserve">Individual tax table</t>
  </si>
  <si>
    <t xml:space="preserve">'Zero, then fifteen, twenty, twenty-five, thirty, thirty-five: climbing a ladder one step (5) at a time. The ceilings: two-fifty, four, eight, two-mil, eight-mil.'</t>
  </si>
  <si>
    <t xml:space="preserve">0 / 15 / 20 / 25 / 30 / 35 and 250k / 400k / 800k / 2M / 8M</t>
  </si>
  <si>
    <t xml:space="preserve">Final tax: who gets what</t>
  </si>
  <si>
    <t xml:space="preserve">'NETB pays 25 on EVERYTHING. Citizens and residents pay 20 on most, but 10 on Books, Dividends, and Partnership shares (B-D-P).'</t>
  </si>
  <si>
    <t xml:space="preserve">10% only for books/music royalties, dividends, partnership share</t>
  </si>
  <si>
    <t xml:space="preserve">Prize and winnings line</t>
  </si>
  <si>
    <t xml:space="preserve">'Ten thousand is the line: at or below = small (table or exempt lotto); over = 20.'</t>
  </si>
  <si>
    <t xml:space="preserve">P10,000 cut-off on prizes, PCSO/Lotto</t>
  </si>
  <si>
    <t xml:space="preserve">Professional fee withholding</t>
  </si>
  <si>
    <t xml:space="preserve">'Individuals 5-10 (line at 3M). Corporations and GPP partners 10-15 (line at 720k). The corporation version is the individual version plus five.'</t>
  </si>
  <si>
    <t xml:space="preserve">5/10 at P3M; 10/15 at P720k</t>
  </si>
  <si>
    <t xml:space="preserve">CWT list: rent and contractors</t>
  </si>
  <si>
    <t xml:space="preserve">'Rent is 5 (five fingers hold the key). Contractors are 2 (two hands build).'</t>
  </si>
  <si>
    <t xml:space="preserve">Rent 5%, contractors 2%</t>
  </si>
  <si>
    <t xml:space="preserve">CGT</t>
  </si>
  <si>
    <t xml:space="preserve">'Shares are Fifteen (like a Fifteen-minute chat). Real property is Six (six feet of land).'</t>
  </si>
  <si>
    <t xml:space="preserve">Shares 15% on net; Real property 6% on gross</t>
  </si>
  <si>
    <t xml:space="preserve">RCIT vs MCIT</t>
  </si>
  <si>
    <t xml:space="preserve">'RCIT is 25 on the NET; MCIT is 2 on the GROSS. The government takes the Higher.'</t>
  </si>
  <si>
    <t xml:space="preserve">25% vs 2%, pay whichever is higher</t>
  </si>
  <si>
    <t xml:space="preserve">Special corporate rates</t>
  </si>
  <si>
    <t xml:space="preserve">'Planes and ships carrying cargo pay Two-and-a-half. Leased planes and machines are Seven-and-a-half. Chartered ships are Four-and-a-half. Films are 25. Branch profits are 15.'</t>
  </si>
  <si>
    <t xml:space="preserve">2.5 / 7.5 / 4.5 / 25 / 15</t>
  </si>
  <si>
    <t xml:space="preserve">Dividends from a DC</t>
  </si>
  <si>
    <t xml:space="preserve">'Ten for locals (RC, NRC, RA), Twenty for NRA-ETB, Twenty-five for NETB. Corporations in the Philippines get it free. Foreign corporation: 15 if sparing, 25 if not.'</t>
  </si>
  <si>
    <t xml:space="preserve">10 / 20 / 25 / exempt / 15 or 25</t>
  </si>
  <si>
    <t xml:space="preserve">Foreign dividends to a DC (exempt)</t>
  </si>
  <si>
    <t xml:space="preserve">'20-2-1': hold at least 20% of the shares, for at least 2 years, and reinvest within 1 year (the next taxable year).'</t>
  </si>
  <si>
    <t xml:space="preserve">20% shares, 2 years held, reinvest in next year</t>
  </si>
  <si>
    <t xml:space="preserve">Predominance test</t>
  </si>
  <si>
    <t xml:space="preserve">'Half or more? Then it is from HERE.' If the Philippine share of 3-year gross income is 50% or more, the dividend is Philippine-source (in the same ratio). Less than 50%: foreign-source.</t>
  </si>
  <si>
    <t xml:space="preserve">50% over 3 years</t>
  </si>
  <si>
    <t xml:space="preserve">OTHER PERCENTAGE TAX: the order of sections 116 to 127</t>
  </si>
  <si>
    <t xml:space="preserve">Section</t>
  </si>
  <si>
    <t xml:space="preserve">116 to 118</t>
  </si>
  <si>
    <t xml:space="preserve">'One-one-six, one-one-seven, one-one-eight: all THREE percent.' (Exempt-from-VAT persons, domestic carriers, international carriers)</t>
  </si>
  <si>
    <t xml:space="preserve">3%, 3%, 3%</t>
  </si>
  <si>
    <t xml:space="preserve">119</t>
  </si>
  <si>
    <t xml:space="preserve">'Franchise: Gas and Water = 2; Radio and TV = 3.'</t>
  </si>
  <si>
    <t xml:space="preserve">2% / 3%</t>
  </si>
  <si>
    <t xml:space="preserve">120</t>
  </si>
  <si>
    <t xml:space="preserve">'Call overseas = 10.'</t>
  </si>
  <si>
    <t xml:space="preserve">121 and 122</t>
  </si>
  <si>
    <t xml:space="preserve">'Banks: Short (5 years or less) = 5. Long (more than 5 years) = 1. The longer the loan, the lower the tax. Royalties and trading gains = 7. Dividends = 0.'</t>
  </si>
  <si>
    <t xml:space="preserve">5 / 1 / 7 / 0</t>
  </si>
  <si>
    <t xml:space="preserve">123 and 124</t>
  </si>
  <si>
    <t xml:space="preserve">'Life insurance = 2. Foreign insurance agent = 4, Owner = 5.'</t>
  </si>
  <si>
    <t xml:space="preserve">2% / 4% / 5%</t>
  </si>
  <si>
    <t xml:space="preserve">125</t>
  </si>
  <si>
    <t xml:space="preserve">'Box, Ball, Booze, Bet': Boxing 10, Basketball 15, Booze (cockpit/cabaret/night club) 18, Bet (jai-alai/racetrack) 30. Rises like a staircase.</t>
  </si>
  <si>
    <t xml:space="preserve">10 / 15 / 18 / 30</t>
  </si>
  <si>
    <t xml:space="preserve">126 and 127</t>
  </si>
  <si>
    <t xml:space="preserve">'Winnings 10, special bets 4. Listed shares: point-ONE percent (point-six was the old).'</t>
  </si>
  <si>
    <t xml:space="preserve">10% / 4% / 0.1%</t>
  </si>
  <si>
    <t xml:space="preserve">ESTATE, DONOR'S AND FRINGE BENEFITS</t>
  </si>
  <si>
    <t xml:space="preserve">Estate and donor's tax</t>
  </si>
  <si>
    <t xml:space="preserve">'Both are Six. Estate: after the death. Donor's: after the gift, and only over P250,000.'</t>
  </si>
  <si>
    <t xml:space="preserve">6% and 6%</t>
  </si>
  <si>
    <t xml:space="preserve">Estate deductions</t>
  </si>
  <si>
    <t xml:space="preserve">'LIT, Standard, Family, Spouse': Losses, Indebtedness, Taxes (ordinary), then the special ones: Standard P5M, Family home P10M cap, Spouse share.</t>
  </si>
  <si>
    <t xml:space="preserve">L-I-T, then 5M, 10M, half of conjugal</t>
  </si>
  <si>
    <t xml:space="preserve">Vanishing deduction</t>
  </si>
  <si>
    <t xml:space="preserve">'Five years, and the discount falls 20 points a year: 100, 80, 60, 40, 20.'</t>
  </si>
  <si>
    <t xml:space="preserve">Within 1y 100%, 2y 80%, 3y 60%, 4y 40%, 5y 20%</t>
  </si>
  <si>
    <t xml:space="preserve">Fringe benefits</t>
  </si>
  <si>
    <t xml:space="preserve">'Thirty-five on the gross-up. Thirty-five plus Sixty-five equals a hundred, so you DIVIDE the benefit by sixty-five percent.'</t>
  </si>
  <si>
    <t xml:space="preserve">FBT = MV / 0.65 x 0.35</t>
  </si>
  <si>
    <t xml:space="preserve">Housing / car: use vs own</t>
  </si>
  <si>
    <t xml:space="preserve">'Just USING it = 50% of the value. When the employee OWNS it = 100%.'</t>
  </si>
  <si>
    <t xml:space="preserve">50% vs 100%</t>
  </si>
  <si>
    <t xml:space="preserve">De minimis (new ceilings)</t>
  </si>
  <si>
    <t xml:space="preserve">'12 days, then 2-2.5-8-12-400-12-6-30%-12': monetized leave 12 days; medical dependents P2,000/sem; rice P2,500/mo; uniform P8,000; medical P12,000; laundry P400/mo; awards P12,000; gifts P6,000; meals 30%; CBA P12,000.</t>
  </si>
  <si>
    <t xml:space="preserve">Whole RR 29-2025 list, in order</t>
  </si>
  <si>
    <t xml:space="preserve">VAT</t>
  </si>
  <si>
    <t xml:space="preserve">VAT numbers</t>
  </si>
  <si>
    <t xml:space="preserve">'Twelve percent. Three-million is the line. Three-six for houses. Fifteen-K for rent and co-op shares.'</t>
  </si>
  <si>
    <t xml:space="preserve">12% / P3M / P3.6M / P15,000</t>
  </si>
  <si>
    <t xml:space="preserve">Zero-rated vs exempt</t>
  </si>
  <si>
    <t xml:space="preserve">'Zero-rated: the seller can claim a refund of input tax (zero, but still IN the VAT system). Exempt: OUT of the VAT system, no input credit, no refund.'</t>
  </si>
  <si>
    <t xml:space="preserve">Zero = refund possible; exempt = no</t>
  </si>
  <si>
    <t xml:space="preserve">Deemed sales (5 types)</t>
  </si>
  <si>
    <t xml:space="preserve">'TD-CRR': Transfer not in ordinary course; Distribution to shareholders; Creditors in payment of debt; Retirement/cessation (ending inventory); Consignment not sold within 60 days.</t>
  </si>
  <si>
    <t xml:space="preserve">5 deemed sale triggers</t>
  </si>
  <si>
    <t xml:space="preserve">Input VAT sources</t>
  </si>
  <si>
    <t xml:space="preserve">'Goods, Services, Imports, Capital goods, then three special: Presumptive, Transitional, Standard.'</t>
  </si>
  <si>
    <t xml:space="preserve">G-S-I-C + P-T-S</t>
  </si>
  <si>
    <t xml:space="preserve">GENERAL TAX RULES</t>
  </si>
  <si>
    <t xml:space="preserve">Gross income inclusions (11)</t>
  </si>
  <si>
    <t xml:space="preserve">'Cats Be Getting Itchy, Rubbing Rugs, Digging Anthills, Playing, Pouncing, Prowling': Compensation, Business, Gains on property, Interest, Rents, Royalties, Dividends, Annuities, Prizes and winnings, Pensions, Partner's share of GPP.</t>
  </si>
  <si>
    <t xml:space="preserve">All 11 items</t>
  </si>
  <si>
    <t xml:space="preserve">Deduction requirements (5)</t>
  </si>
  <si>
    <t xml:space="preserve">'O-P-C-S-N': Ordinary and necessary, Paid or incurred in the year, Connected to the business, Substantiated, Not illegal. (EOPTA removed the old 6th: proof of paying the withholding tax.)</t>
  </si>
  <si>
    <t xml:space="preserve">5 requirements</t>
  </si>
  <si>
    <t xml:space="preserve">Non-deductible taxes</t>
  </si>
  <si>
    <t xml:space="preserve">'I Finally See Dad Eat Vegetables': Income tax, Final taxes, Stock transaction tax, Donor's tax, Estate tax, VAT.</t>
  </si>
  <si>
    <t xml:space="preserve">6 taxes you cannot deduct</t>
  </si>
  <si>
    <t xml:space="preserve">Charity limits</t>
  </si>
  <si>
    <t xml:space="preserve">'Individuals ten, Corporations five' (10% and 5% of taxable income before the contribution).</t>
  </si>
  <si>
    <t xml:space="preserve">10% / 5%</t>
  </si>
  <si>
    <t xml:space="preserve">Principal residence CGT exemption</t>
  </si>
  <si>
    <t xml:space="preserve">'30-18-10': notify BIR in 30 days, buy the new home within 18 months, use it once every 10 years. Plus escrow deposit.</t>
  </si>
  <si>
    <t xml:space="preserve">30 days / 18 months / 10 years</t>
  </si>
  <si>
    <t xml:space="preserve">Installment sale</t>
  </si>
  <si>
    <t xml:space="preserve">'One-quarter rule': initial payments in the year of sale must not exceed 25% of the selling price.</t>
  </si>
  <si>
    <t xml:space="preserve">Capital loss holding period</t>
  </si>
  <si>
    <t xml:space="preserve">'One year splits it': held 12 months or less = 100% counted; more than 12 months = 50% counted (individuals only).</t>
  </si>
  <si>
    <t xml:space="preserve">100% / 50%</t>
  </si>
  <si>
    <t xml:space="preserve">NOLCO</t>
  </si>
  <si>
    <t xml:space="preserve">'Three years normally. Five years for the 2020 and 2021 losses.' And you lose it if more than 25% of the owners changed (75% must stay).</t>
  </si>
  <si>
    <t xml:space="preserve">3 years / 5 years / 75%</t>
  </si>
  <si>
    <t xml:space="preserve">Charitable donations fully deductible</t>
  </si>
  <si>
    <t xml:space="preserve">'G-N-S': Government priority activities, Non-government accredited NGOs, Special laws (IBP, IRRI, UP, CCP...).</t>
  </si>
  <si>
    <t xml:space="preserve">3 groups</t>
  </si>
  <si>
    <t xml:space="preserve">LOCAL, FILING AND PENALTIES</t>
  </si>
  <si>
    <t xml:space="preserve">Half-of-one-percent trio</t>
  </si>
  <si>
    <t xml:space="preserve">'T-P-F': Transfer tax, Printing, Franchise: each is 50% of 1%.</t>
  </si>
  <si>
    <t xml:space="preserve">0.5%</t>
  </si>
  <si>
    <t xml:space="preserve">RPT assessment levels (land)</t>
  </si>
  <si>
    <t xml:space="preserve">'R-A-C-I-M-T = 20-40-50-50-50-20': Residential 20, Agricultural 40, Commercial 50, Industrial 50, Mineral 50, Timberland 20.</t>
  </si>
  <si>
    <t xml:space="preserve">20 / 40 / 50 / 50 / 50 / 20</t>
  </si>
  <si>
    <t xml:space="preserve">Machinery levels</t>
  </si>
  <si>
    <t xml:space="preserve">'A-R-C-I = 40-50-80-80': Agricultural 40, Residential 50, Commercial 80, Industrial 80.</t>
  </si>
  <si>
    <t xml:space="preserve">40 / 50 / 80 / 80</t>
  </si>
  <si>
    <t xml:space="preserve">Special classes</t>
  </si>
  <si>
    <t xml:space="preserve">'Cultural, Scientific, Hospital: 15. Water districts and GOCC water/power: 10.'</t>
  </si>
  <si>
    <t xml:space="preserve">15 / 10</t>
  </si>
  <si>
    <t xml:space="preserve">Income tax return deadlines</t>
  </si>
  <si>
    <t xml:space="preserve">'Quarterly 1701Q: the 15th of May, August, November. Annual 1701: April 15. Corporation 1702: 15th day of the 4th month after year-end. 2316: Jan 31.'</t>
  </si>
  <si>
    <t xml:space="preserve">May 15 / Aug 15 / Nov 15 / Apr 15</t>
  </si>
  <si>
    <t xml:space="preserve">Donor's vs estate return</t>
  </si>
  <si>
    <t xml:space="preserve">'Donor's: 30 days (a gift is quick). Estate: 1 year (grieving takes time).'</t>
  </si>
  <si>
    <t xml:space="preserve">30 days / 1 year</t>
  </si>
  <si>
    <t xml:space="preserve">Surcharge</t>
  </si>
  <si>
    <t xml:space="preserve">'Quarter and Half': 25% usual, 50% for willful and fraud.</t>
  </si>
  <si>
    <t xml:space="preserve">25% / 50%</t>
  </si>
  <si>
    <t xml:space="preserve">Constructive distraint / termination of tax period</t>
  </si>
  <si>
    <t xml:space="preserve">'R-L-R-O': Retiring, Leaving the country, Removing/hiding property, Obstructing collection.</t>
  </si>
  <si>
    <t xml:space="preserve">4 triggers</t>
  </si>
  <si>
    <t xml:space="preserve">Suspension of prescriptive period</t>
  </si>
  <si>
    <t xml:space="preserve">'R-U-N-A': Reinvestigation granted, Unable to locate taxpayer, No property found, Abroad (taxpayer out of the country).</t>
  </si>
  <si>
    <t xml:space="preserve">CREATE MORE INCENTIVES</t>
  </si>
  <si>
    <t xml:space="preserve">Years of incentives</t>
  </si>
  <si>
    <t xml:space="preserve">'ITH is always 4 to 7 years. Then add 10 years (IPA) or 20 years (FIRB). Skip ITH? Then 14 to 17 (IPA) or 24 to 27 (FIRB).' FIRB always adds 10 more than IPA.</t>
  </si>
  <si>
    <t xml:space="preserve">4-7 + 10/20;  14-17 / 24-27</t>
  </si>
  <si>
    <t xml:space="preserve">EDR deductions</t>
  </si>
  <si>
    <t xml:space="preserve">'100 for Research, Training, Power (R-T-P). The rest are 50: Labor, Domestic inputs, Exhibitions, Reinvestment allowance.' Depreciation: 10% buildings, 20% machinery.</t>
  </si>
  <si>
    <t xml:space="preserve">3 at 100%, 4 at 50%</t>
  </si>
  <si>
    <t xml:space="preserve">SCIT vs EDR</t>
  </si>
  <si>
    <t xml:space="preserve">'SCIT = only Exporters, 5% of gross. EDR = anybody, 20% RCIT but with extra deductions.'</t>
  </si>
  <si>
    <t xml:space="preserve">Only REEs get SCIT</t>
  </si>
  <si>
    <t xml:space="preserve">QUIZ - cover the answer column and test yourself</t>
  </si>
  <si>
    <t xml:space="preserve">THE BIG IDEA (read this first): Read the question, SAY the answer out loud, then uncover. Anything you miss goes on your 'redo' list. Tip: select the Answer column (C:D), right-click, Hide; click-drag to unhide when you want to check.</t>
  </si>
  <si>
    <t xml:space="preserve">119 QUESTIONS (in the order of the tabs)</t>
  </si>
  <si>
    <t xml:space="preserve">Answer</t>
  </si>
  <si>
    <t xml:space="preserve">General</t>
  </si>
  <si>
    <t xml:space="preserve">Which taxpayers are taxed on WORLDWIDE income?</t>
  </si>
  <si>
    <t xml:space="preserve">Resident citizens (RC) and domestic corporations (DC). Everyone else: Philippine-source income only.</t>
  </si>
  <si>
    <t xml:space="preserve">Name the 3 inherent powers of the State.</t>
  </si>
  <si>
    <t xml:space="preserve">Taxation, eminent domain, police power.</t>
  </si>
  <si>
    <t xml:space="preserve">Sound tax system principles (F-A-T)?</t>
  </si>
  <si>
    <t xml:space="preserve">Fiscal adequacy, Administrative feasibility, Theoretical justice (equality).</t>
  </si>
  <si>
    <t xml:space="preserve">Which method of escaping taxation is ILLEGAL?</t>
  </si>
  <si>
    <t xml:space="preserve">Tax evasion (dodging). Avoidance, shifting, capitalization, transformation and exemption are legal.</t>
  </si>
  <si>
    <t xml:space="preserve">5 inherent limitations (P-E-N-S-I)?</t>
  </si>
  <si>
    <t xml:space="preserve">Public purpose, Exemption of government, Non-delegability, Situs, International comity.</t>
  </si>
  <si>
    <t xml:space="preserve">What vote is needed to pass a law granting a tax exemption?</t>
  </si>
  <si>
    <t xml:space="preserve">Majority of ALL members of Congress.</t>
  </si>
  <si>
    <t xml:space="preserve">Individuals</t>
  </si>
  <si>
    <t xml:space="preserve">How many days in the Philippines make a non-resident alien 'engaged in trade or business'?</t>
  </si>
  <si>
    <t xml:space="preserve">More than 180 days in a calendar year.</t>
  </si>
  <si>
    <t xml:space="preserve">Top rate in the individual graduated table, and from what income?</t>
  </si>
  <si>
    <t xml:space="preserve">35% on net taxable income over P8,000,000 (P2,202,500 + 35% of the excess).</t>
  </si>
  <si>
    <t xml:space="preserve">Tax on net taxable income of P250,000 or less?</t>
  </si>
  <si>
    <t xml:space="preserve">Zero.</t>
  </si>
  <si>
    <t xml:space="preserve">Compute the tax on P500,000 net taxable income.</t>
  </si>
  <si>
    <t xml:space="preserve">P22,500 + 20% x (500,000 - 400,000) = P42,500.</t>
  </si>
  <si>
    <t xml:space="preserve">Compute the tax on P1,000,000 net taxable income.</t>
  </si>
  <si>
    <t xml:space="preserve">P102,500 + 25% x (1,000,000 - 800,000) = P152,500.</t>
  </si>
  <si>
    <t xml:space="preserve">FWT on interest from a Philippine bank deposit for an RC?</t>
  </si>
  <si>
    <t xml:space="preserve">20%. (NRA-NETB: 25%.)</t>
  </si>
  <si>
    <t xml:space="preserve">FWT on royalties from books, literary works and musical compositions?</t>
  </si>
  <si>
    <t xml:space="preserve">10% (RC, NRC, RA, NRA-ETB); 25% for NRA-NETB. Other royalties: 20%.</t>
  </si>
  <si>
    <t xml:space="preserve">FWT on prizes of P10,000 or less, and over P10,000?</t>
  </si>
  <si>
    <t xml:space="preserve">P10,000 or less: tax table. Over P10,000: 20%.</t>
  </si>
  <si>
    <t xml:space="preserve">FWT on PCSO and Lotto winnings of P10,000 or less?</t>
  </si>
  <si>
    <t xml:space="preserve">Exempt. Over P10,000: 20%.</t>
  </si>
  <si>
    <t xml:space="preserve">What is the final tax on all Philippine income of an NRA-NETB?</t>
  </si>
  <si>
    <t xml:space="preserve">25% (final, on gross).</t>
  </si>
  <si>
    <t xml:space="preserve">Dividend from a domestic corporation to an RC, NRC or RA?</t>
  </si>
  <si>
    <t xml:space="preserve">10% final. NRA-ETB 20%; NRA-NETB 25%.</t>
  </si>
  <si>
    <t xml:space="preserve">Share in the net income after tax of a taxable partnership (not a GPP) to an RC?</t>
  </si>
  <si>
    <t xml:space="preserve">EWT on professional fees paid to individuals?</t>
  </si>
  <si>
    <t xml:space="preserve">5% if annual income is P3M or less; 10% if over P3M.</t>
  </si>
  <si>
    <t xml:space="preserve">EWT on professional fees paid to corporations (and GPP partners)?</t>
  </si>
  <si>
    <t xml:space="preserve">10% if P720,000 or less; 15% if over P720,000.</t>
  </si>
  <si>
    <t xml:space="preserve">EWT on rentals? On payments to contractors?</t>
  </si>
  <si>
    <t xml:space="preserve">Rentals 5%. Contractors 2%.</t>
  </si>
  <si>
    <t xml:space="preserve">CGT on sale of unlisted shares of a domestic corporation? On sale of real property?</t>
  </si>
  <si>
    <t xml:space="preserve">Shares 15% (net gain). Real property 6% (higher of selling price or FMV).</t>
  </si>
  <si>
    <t xml:space="preserve">Stock transaction tax on listed shares now?</t>
  </si>
  <si>
    <t xml:space="preserve">0.1% of gross selling price (was 0.6%).</t>
  </si>
  <si>
    <t xml:space="preserve">What does the P250,000 mean under the 8% option?</t>
  </si>
  <si>
    <t xml:space="preserve">The first P250,000 of gross sales/receipts is not taxed for purely self-employed. A MIXED income earner does NOT get the P250,000 deduction.</t>
  </si>
  <si>
    <t xml:space="preserve">OSD for individuals vs corporations?</t>
  </si>
  <si>
    <t xml:space="preserve">Individuals: 40% of gross sales/receipts. Corporations: 40% of gross income.</t>
  </si>
  <si>
    <t xml:space="preserve">What income is a minimum wage earner exempt on?</t>
  </si>
  <si>
    <t xml:space="preserve">Statutory minimum wage, holiday pay, overtime, night differential, hazard pay, and up to P90,000 13th month and other benefits.</t>
  </si>
  <si>
    <t xml:space="preserve">Corporations</t>
  </si>
  <si>
    <t xml:space="preserve">RCIT rate for DC and RFC?</t>
  </si>
  <si>
    <t xml:space="preserve">25% of taxable income.</t>
  </si>
  <si>
    <t xml:space="preserve">When does a DC pay 20% RCIT?</t>
  </si>
  <si>
    <t xml:space="preserve">When net taxable income is P5,000,000 or below AND total assets (excluding land) are P100,000,000 or below.</t>
  </si>
  <si>
    <t xml:space="preserve">MCIT rate and base?</t>
  </si>
  <si>
    <t xml:space="preserve">2% of GROSS income. Pay the HIGHER of RCIT and MCIT.</t>
  </si>
  <si>
    <t xml:space="preserve">NRFC tax rate and base?</t>
  </si>
  <si>
    <t xml:space="preserve">25% final withholding tax on gross income.</t>
  </si>
  <si>
    <t xml:space="preserve">Tax on international carriers (Philippine billings)?</t>
  </si>
  <si>
    <t xml:space="preserve">2.5% of Gross Philippine Billings.</t>
  </si>
  <si>
    <t xml:space="preserve">Tax on non-resident lessors of aircraft, machinery and equipment?</t>
  </si>
  <si>
    <t xml:space="preserve">7.5% of gross rentals, charters and fees.</t>
  </si>
  <si>
    <t xml:space="preserve">Tax on non-resident owners of vessels chartered by Philippine nationals?</t>
  </si>
  <si>
    <t xml:space="preserve">4.5% of gross rentals and charter fees.</t>
  </si>
  <si>
    <t xml:space="preserve">Tax on non-resident cinematographic film owner, lessor or distributor?</t>
  </si>
  <si>
    <t xml:space="preserve">25% of gross income.</t>
  </si>
  <si>
    <t xml:space="preserve">Branch profit remittance tax?</t>
  </si>
  <si>
    <t xml:space="preserve">15% of total profits applied or earmarked for remittance (no deduction for the tax itself).</t>
  </si>
  <si>
    <t xml:space="preserve">How are ROHQs and OBUs taxed now?</t>
  </si>
  <si>
    <t xml:space="preserve">As regular RFCs: 25% RCIT and 2% MCIT.</t>
  </si>
  <si>
    <t xml:space="preserve">Tax on RHQ (regional or area headquarters) that earn NO Philippine income?</t>
  </si>
  <si>
    <t xml:space="preserve">Exempt.</t>
  </si>
  <si>
    <t xml:space="preserve">Tax on proprietary educational institutions and non-profit hospitals?</t>
  </si>
  <si>
    <t xml:space="preserve">10% on net income, if unrelated income does not exceed 50% of total gross income.</t>
  </si>
  <si>
    <t xml:space="preserve">Dividends</t>
  </si>
  <si>
    <t xml:space="preserve">Dividend from DC to another DC or RFC?</t>
  </si>
  <si>
    <t xml:space="preserve">Dividend from DC to NRFC?</t>
  </si>
  <si>
    <t xml:space="preserve">15% if the foreign country allows tax sparing; 25% if not.</t>
  </si>
  <si>
    <t xml:space="preserve">The 5 requirements for a DC's foreign dividends to be exempt?</t>
  </si>
  <si>
    <t xml:space="preserve">Reinvest in the Philippines; within the next taxable year; only for allowed uses; at least 20% direct ownership; held at least 2 years.</t>
  </si>
  <si>
    <t xml:space="preserve">Predominance test cut-off?</t>
  </si>
  <si>
    <t xml:space="preserve">50% (Philippine gross income / worldwide gross income over the prior 3 years). 50% or more = from the Philippines; less than 50% = foreign.</t>
  </si>
  <si>
    <t xml:space="preserve">Partnerships</t>
  </si>
  <si>
    <t xml:space="preserve">How is an ordinary partnership taxed? A GPP?</t>
  </si>
  <si>
    <t xml:space="preserve">Ordinary: like a corporation. GPP: not taxed; partners are taxed on their distributive share.</t>
  </si>
  <si>
    <t xml:space="preserve">When does a co-ownership become taxable?</t>
  </si>
  <si>
    <t xml:space="preserve">If it invests/administers for profit, pools a common fund for profit, stays undivided more than 10 years, or goes beyond preserving the property.</t>
  </si>
  <si>
    <t xml:space="preserve">Gross Income</t>
  </si>
  <si>
    <t xml:space="preserve">Cap on the exclusion for 13th month pay and other benefits?</t>
  </si>
  <si>
    <t xml:space="preserve">P90,000.</t>
  </si>
  <si>
    <t xml:space="preserve">Are gifts and inheritances taxable?</t>
  </si>
  <si>
    <t xml:space="preserve">The VALUE received is excluded; the INCOME from the property is included.</t>
  </si>
  <si>
    <t xml:space="preserve">Are gains from selling bonds with a maturity over 5 years excluded?</t>
  </si>
  <si>
    <t xml:space="preserve">Yes, excluded from gross income.</t>
  </si>
  <si>
    <t xml:space="preserve">Deductions</t>
  </si>
  <si>
    <t xml:space="preserve">What requirement did EOPTA remove from the deductibility requisites?</t>
  </si>
  <si>
    <t xml:space="preserve">Proof of payment of the withholding tax to the BIR.</t>
  </si>
  <si>
    <t xml:space="preserve">Charitable contribution limits (not fully deductible)?</t>
  </si>
  <si>
    <t xml:space="preserve">10% of taxable income for individuals; 5% for corporations.</t>
  </si>
  <si>
    <t xml:space="preserve">NOLCO period? Ownership test?</t>
  </si>
  <si>
    <t xml:space="preserve">3 consecutive years (5 years for 2020-2021 losses). At least 75% of ownership must remain with the same persons.</t>
  </si>
  <si>
    <t xml:space="preserve">Notice of a deductible loss must be filed with the BIR within...</t>
  </si>
  <si>
    <t xml:space="preserve">45 days from discovery.</t>
  </si>
  <si>
    <t xml:space="preserve">Pension: current service cost vs past service cost?</t>
  </si>
  <si>
    <t xml:space="preserve">Current: deductible in full. Past: amortized over 10 years.</t>
  </si>
  <si>
    <t xml:space="preserve">Labor training additional deduction?</t>
  </si>
  <si>
    <t xml:space="preserve">1/2 (50%) of the labor training expense; limited to 10% of direct labor wage.</t>
  </si>
  <si>
    <t xml:space="preserve">Name the 6 taxes you cannot deduct.</t>
  </si>
  <si>
    <t xml:space="preserve">Income tax, final taxes, stock transaction tax, donor's tax, estate tax, VAT.</t>
  </si>
  <si>
    <t xml:space="preserve">Capital Assets</t>
  </si>
  <si>
    <t xml:space="preserve">Capital loss rule for individuals held more than 12 months?</t>
  </si>
  <si>
    <t xml:space="preserve">Only 50% of the gain or loss is counted. 12 months or less: 100%.</t>
  </si>
  <si>
    <t xml:space="preserve">Principal residence CGT exemption conditions (timing)?</t>
  </si>
  <si>
    <t xml:space="preserve">BIR notice in 30 days; buy a new home within 18 months; once every 10 years; escrow deposit.</t>
  </si>
  <si>
    <t xml:space="preserve">What are ordinary assets (4)?</t>
  </si>
  <si>
    <t xml:space="preserve">Inventory; property held for sale to customers; depreciable business property; real property used in business.</t>
  </si>
  <si>
    <t xml:space="preserve">What is the basis of property acquired by inheritance?</t>
  </si>
  <si>
    <t xml:space="preserve">FMV at the time of inheritance.</t>
  </si>
  <si>
    <t xml:space="preserve">Installment</t>
  </si>
  <si>
    <t xml:space="preserve">Maximum initial payments to use installment reporting on a real property sale?</t>
  </si>
  <si>
    <t xml:space="preserve">25% of the selling price.</t>
  </si>
  <si>
    <t xml:space="preserve">Formula for income realized in a year?</t>
  </si>
  <si>
    <t xml:space="preserve">(Gross profit / Contract price) x collections of that year.</t>
  </si>
  <si>
    <t xml:space="preserve">Fringe Benefits</t>
  </si>
  <si>
    <t xml:space="preserve">FBT rate and base?</t>
  </si>
  <si>
    <t xml:space="preserve">35% of the grossed-up monetary value (monetary value divided by 65%).</t>
  </si>
  <si>
    <t xml:space="preserve">Monetary value when the employer leases a residence for an employee?</t>
  </si>
  <si>
    <t xml:space="preserve">Rental paid x 50%.</t>
  </si>
  <si>
    <t xml:space="preserve">Monetary value when the employer owns the house the employee uses?</t>
  </si>
  <si>
    <t xml:space="preserve">Higher of FMV or zonal value x 5% x 50%.</t>
  </si>
  <si>
    <t xml:space="preserve">Portion of a first-class airplane ticket exempt from FBT?</t>
  </si>
  <si>
    <t xml:space="preserve">70% (economy and business class: fully exempt).</t>
  </si>
  <si>
    <t xml:space="preserve">New de minimis: rice subsidy, uniform allowance, laundry?</t>
  </si>
  <si>
    <t xml:space="preserve">P2,500 per month; P8,000 per year; P400 per month.</t>
  </si>
  <si>
    <t xml:space="preserve">New de minimis: monetized vacation leave of private employees?</t>
  </si>
  <si>
    <t xml:space="preserve">12 days (was 10).</t>
  </si>
  <si>
    <t xml:space="preserve">Donor's Tax</t>
  </si>
  <si>
    <t xml:space="preserve">Donor's tax rate and exempt amount?</t>
  </si>
  <si>
    <t xml:space="preserve">6% on total gifts in a calendar year over P250,000.</t>
  </si>
  <si>
    <t xml:space="preserve">Donor's tax return deadline?</t>
  </si>
  <si>
    <t xml:space="preserve">Within 30 days after the gift (BIR Form 1800).</t>
  </si>
  <si>
    <t xml:space="preserve">Form required for movable property gifts of P5,000 or less? Over P5,000? Real property?</t>
  </si>
  <si>
    <t xml:space="preserve">Oral or written; written; public document.</t>
  </si>
  <si>
    <t xml:space="preserve">How is unlisted stock valued for donor's or estate tax?</t>
  </si>
  <si>
    <t xml:space="preserve">At BOOK value. Listed: average of the high and low price.</t>
  </si>
  <si>
    <t xml:space="preserve">Which donations are void?</t>
  </si>
  <si>
    <t xml:space="preserve">Between spouses (except minor gifts); to public officers by reason of office; of future property; to incapacitated persons; between persons guilty of adultery/concubinage or the same crime.</t>
  </si>
  <si>
    <t xml:space="preserve">Estate Tax</t>
  </si>
  <si>
    <t xml:space="preserve">Estate tax rate and return deadline?</t>
  </si>
  <si>
    <t xml:space="preserve">6% of the net estate; return (1801) within 1 year from death.</t>
  </si>
  <si>
    <t xml:space="preserve">Standard deduction? Family home cap?</t>
  </si>
  <si>
    <t xml:space="preserve">P5,000,000; P10,000,000.</t>
  </si>
  <si>
    <t xml:space="preserve">Vanishing deduction percentage if the second death is within 2 years of the first?</t>
  </si>
  <si>
    <t xml:space="preserve">80% (1 year: 100%; 3: 60%; 4: 40%; 5: 20%).</t>
  </si>
  <si>
    <t xml:space="preserve">What does LIT stand for?</t>
  </si>
  <si>
    <t xml:space="preserve">Losses, Indebtedness, Taxes (the ordinary deductions).</t>
  </si>
  <si>
    <t xml:space="preserve">In ACP, gifts or inheritance received DURING marriage are...</t>
  </si>
  <si>
    <t xml:space="preserve">Exclusive property (not community).</t>
  </si>
  <si>
    <t xml:space="preserve">VAT rate, and VAT payable formula?</t>
  </si>
  <si>
    <t xml:space="preserve">12%. VAT payable = Output VAT - Input VAT.</t>
  </si>
  <si>
    <t xml:space="preserve">Difference between zero-rated and exempt?</t>
  </si>
  <si>
    <t xml:space="preserve">Zero-rated sellers can claim input VAT and refund; exempt sellers cannot.</t>
  </si>
  <si>
    <t xml:space="preserve">VAT registration threshold?</t>
  </si>
  <si>
    <t xml:space="preserve">Gross annual sales over P3,000,000 (adjusted by CPI every 3 years).</t>
  </si>
  <si>
    <t xml:space="preserve">VAT-exempt sale of house and lot: price ceiling?</t>
  </si>
  <si>
    <t xml:space="preserve">P3,600,000 and below. Lease: P15,000 per month or below.</t>
  </si>
  <si>
    <t xml:space="preserve">The 5 deemed sales?</t>
  </si>
  <si>
    <t xml:space="preserve">Transfer not in the ordinary course; distribution of inventory to shareholders; to creditors; consignment not sold within 60 days; retirement/closure (ending inventory).</t>
  </si>
  <si>
    <t xml:space="preserve">Effectively zero-rated sales (international agreements or special laws)?</t>
  </si>
  <si>
    <t xml:space="preserve">ADB, IRRI, SBMA-registered enterprises, PEZA-registered enterprises.</t>
  </si>
  <si>
    <t xml:space="preserve">Quarterly VAT return form and deadline?</t>
  </si>
  <si>
    <t xml:space="preserve">BIR Form 2550Q; not later than the 25th day after the close of the quarter.</t>
  </si>
  <si>
    <t xml:space="preserve">EOPTA: VAT on services is now based on gross ____ and uses a VAT ____.</t>
  </si>
  <si>
    <t xml:space="preserve">Gross SALES; VAT INVOICE (not official receipt).</t>
  </si>
  <si>
    <t xml:space="preserve">OPT</t>
  </si>
  <si>
    <t xml:space="preserve">Sec. 116 percentage tax rate?</t>
  </si>
  <si>
    <t xml:space="preserve">3% of gross quarterly sales (1% from July 2020 to June 2023 under CREATE).</t>
  </si>
  <si>
    <t xml:space="preserve">Banks: tax on interest from lending of 5 years or less vs more than 5 years?</t>
  </si>
  <si>
    <t xml:space="preserve">5% vs 1%. Royalties/rentals/trading gains 7%; dividends 0%.</t>
  </si>
  <si>
    <t xml:space="preserve">Tax on overseas dispatch, message or conversation originating from the Philippines?</t>
  </si>
  <si>
    <t xml:space="preserve">10% of the amount paid.</t>
  </si>
  <si>
    <t xml:space="preserve">Amusement taxes: boxing, basketball, cockpits/cabarets/night clubs, jai-alai/racetracks?</t>
  </si>
  <si>
    <t xml:space="preserve">10%, 15%, 18%, 30%.</t>
  </si>
  <si>
    <t xml:space="preserve">OPT on life insurance premiums? Agents of foreign insurers?</t>
  </si>
  <si>
    <t xml:space="preserve">2%; 4% (and 5% for owners insuring directly).</t>
  </si>
  <si>
    <t xml:space="preserve">OPT on listed shares sold through the stock exchange?</t>
  </si>
  <si>
    <t xml:space="preserve">0.1% of gross selling price.</t>
  </si>
  <si>
    <t xml:space="preserve">What is the POGO gaming tax?</t>
  </si>
  <si>
    <t xml:space="preserve">5% OPT in lieu of all other taxes on gaming income (Sec. 125-A).</t>
  </si>
  <si>
    <t xml:space="preserve">Excise</t>
  </si>
  <si>
    <t xml:space="preserve">Five groups of SPECIFIC excise tax?</t>
  </si>
  <si>
    <t xml:space="preserve">Alcohol, tobacco, petroleum, mineral (coal and coke), sweetened beverages.</t>
  </si>
  <si>
    <t xml:space="preserve">Excise tax on invasive cosmetic surgery?</t>
  </si>
  <si>
    <t xml:space="preserve">5% of gross receipts.</t>
  </si>
  <si>
    <t xml:space="preserve">Treatment of EVs, pick-ups and hybrids under auto excise?</t>
  </si>
  <si>
    <t xml:space="preserve">Electric and pick-ups: exempt. Hybrids: 50% of the applicable rate.</t>
  </si>
  <si>
    <t xml:space="preserve">DST</t>
  </si>
  <si>
    <t xml:space="preserve">DST on original issuance of shares with par?</t>
  </si>
  <si>
    <t xml:space="preserve">75% of 1% of par value (P1.50 per P200).</t>
  </si>
  <si>
    <t xml:space="preserve">DST on deeds of sale of real property?</t>
  </si>
  <si>
    <t xml:space="preserve">P15 on each P1,000 (1.5%).</t>
  </si>
  <si>
    <t xml:space="preserve">DST on subsequent issuance of no-par shares?</t>
  </si>
  <si>
    <t xml:space="preserve">50% of the DST paid on the original issuance.</t>
  </si>
  <si>
    <t xml:space="preserve">Local</t>
  </si>
  <si>
    <t xml:space="preserve">Professional tax cap? Delivery van and trucks cap?</t>
  </si>
  <si>
    <t xml:space="preserve">Not more than P300; not more than P500.</t>
  </si>
  <si>
    <t xml:space="preserve">Property transfer tax rate and base?</t>
  </si>
  <si>
    <t xml:space="preserve">50% of 1% of the total consideration or FMV, whichever is higher.</t>
  </si>
  <si>
    <t xml:space="preserve">Land assessment levels: residential, agricultural, commercial/industrial/mineral, timberland?</t>
  </si>
  <si>
    <t xml:space="preserve">20%, 40%, 50%, 20%.</t>
  </si>
  <si>
    <t xml:space="preserve">Can a private person be assigned to collect local taxes?</t>
  </si>
  <si>
    <t xml:space="preserve">NO, never.</t>
  </si>
  <si>
    <t xml:space="preserve">Business tax of a manufacturer with an office and a separate plant?</t>
  </si>
  <si>
    <t xml:space="preserve">30% to the LGU of the principal office; 70% to the LGU of the plant.</t>
  </si>
  <si>
    <t xml:space="preserve">Who is exempt from community tax?</t>
  </si>
  <si>
    <t xml:space="preserve">Diplomatic and consular representatives; transient visitors staying 3 months or less.</t>
  </si>
  <si>
    <t xml:space="preserve">Preferential</t>
  </si>
  <si>
    <t xml:space="preserve">Senior citizen and PWD discount and VAT treatment?</t>
  </si>
  <si>
    <t xml:space="preserve">20% discount and VAT exemption on covered goods and services; 5% on basic necessities and prime commodities.</t>
  </si>
  <si>
    <t xml:space="preserve">BMBE: asset ceiling and tax benefit?</t>
  </si>
  <si>
    <t xml:space="preserve">Total assets P3M or less (revoked if exceeded); income tax exempt.</t>
  </si>
  <si>
    <t xml:space="preserve">CREATE MORE</t>
  </si>
  <si>
    <t xml:space="preserve">SCIT: rate and who can use it?</t>
  </si>
  <si>
    <t xml:space="preserve">5% of gross income in lieu of national and local taxes; registered EXPORT enterprises only.</t>
  </si>
  <si>
    <t xml:space="preserve">ITH length? Years of SCIT/EDR after ITH under IPA vs FIRB?</t>
  </si>
  <si>
    <t xml:space="preserve">ITH 4-7 years; then 10 years (IPA) or 20 years (FIRB).</t>
  </si>
  <si>
    <t xml:space="preserve">EDR deductions at 100%?</t>
  </si>
  <si>
    <t xml:space="preserve">Research and development, training expense, power expense.</t>
  </si>
  <si>
    <t xml:space="preserve">RBE local tax during ITH or EDR?</t>
  </si>
  <si>
    <t xml:space="preserve">2% of gross income, in lieu of all local taxes (not imposed on SCIT).</t>
  </si>
  <si>
    <t xml:space="preserve">Remedies</t>
  </si>
  <si>
    <t xml:space="preserve">Civil penalty surcharges?</t>
  </si>
  <si>
    <t xml:space="preserve">25% (usual); 50% (willful neglect to file, or false/fraudulent return).</t>
  </si>
  <si>
    <t xml:space="preserve">Interest on deficiency/delinquency? For micro and small taxpayers?</t>
  </si>
  <si>
    <t xml:space="preserve">12%; 6%.</t>
  </si>
  <si>
    <t xml:space="preserve">Micro vs small taxpayer?</t>
  </si>
  <si>
    <t xml:space="preserve">Micro: gross sales under P3M. Small: P3M to P20M.</t>
  </si>
  <si>
    <t xml:space="preserve">Under EOPTA, how long must books of accounts be kept?</t>
  </si>
  <si>
    <t xml:space="preserve">5 years (was 10).</t>
  </si>
  <si>
    <t xml:space="preserve">Refund timeline under EOPTA?</t>
  </si>
  <si>
    <t xml:space="preserve">BIR acts within 180 days; appeal to CTA within 30 days from denial or lapse of 180 days.</t>
  </si>
  <si>
    <t xml:space="preserve">When is a PAN NOT required?</t>
  </si>
  <si>
    <t xml:space="preserve">Math error; withheld vs remitted discrepancy; carried-over excess CWT; unpaid excise tax; resale by exempt person to non-exempt person.</t>
  </si>
  <si>
    <t xml:space="preserve">When can the Commissioner inquire into bank deposits?</t>
  </si>
  <si>
    <t xml:space="preserve">Only to determine a decedent's gross estate, or to check a claim of financial incapacity in a compromise.</t>
  </si>
  <si>
    <t xml:space="preserve">When is the assessment prescription period suspended?</t>
  </si>
  <si>
    <t xml:space="preserve">Reinvestigation granted; taxpayer cannot be found; no property found; taxpayer is out of the country.</t>
  </si>
  <si>
    <t xml:space="preserve">Filing</t>
  </si>
  <si>
    <t xml:space="preserve">Deadlines: 1701Q, 1701, 1702, 2316?</t>
  </si>
  <si>
    <t xml:space="preserve">May 15/Aug 15/Nov 15; April 15; 15th day of the 4th month after year-end; January 31.</t>
  </si>
  <si>
    <t xml:space="preserve">Who need not file an income tax return?</t>
  </si>
  <si>
    <t xml:space="preserve">Income P250,000 or less; purely compensation from one employer with correct withholding; final-tax-only income; MWE.</t>
  </si>
  <si>
    <t xml:space="preserve">CALCULATORS - type in the yellow cells (blue numbers), read the answers</t>
  </si>
  <si>
    <t xml:space="preserve">Yellow cells with blue text are INPUTS you can change. Black cells are formulas. Every example is pre-filled so you can see how it works. Rates follow the RATES tab (2023-onward individual table; 25%/20% RCIT; 2% MCIT; 6% donor's/estate; 12% VAT; 35% FBT).</t>
  </si>
  <si>
    <t xml:space="preserve">A. INDIVIDUAL GRADUATED INCOME TAX (Sec. 24A, 2023 onward)</t>
  </si>
  <si>
    <t xml:space="preserve">Net taxable income (P)</t>
  </si>
  <si>
    <t xml:space="preserve">Change me. Example: P1,240,000</t>
  </si>
  <si>
    <t xml:space="preserve">Bracket table (lookup)</t>
  </si>
  <si>
    <t xml:space="preserve">Floor</t>
  </si>
  <si>
    <t xml:space="preserve">Rate on the excess  |  Fixed amount at the floor</t>
  </si>
  <si>
    <t xml:space="preserve">Fixed</t>
  </si>
  <si>
    <t xml:space="preserve">Bracket starting at P0</t>
  </si>
  <si>
    <t xml:space="preserve">0% | fixed P0</t>
  </si>
  <si>
    <t xml:space="preserve">Bracket starting at P250,000</t>
  </si>
  <si>
    <t xml:space="preserve">15% | fixed P0</t>
  </si>
  <si>
    <t xml:space="preserve">Bracket starting at P400,000</t>
  </si>
  <si>
    <t xml:space="preserve">20% | fixed P22,500</t>
  </si>
  <si>
    <t xml:space="preserve">Bracket starting at P800,000</t>
  </si>
  <si>
    <t xml:space="preserve">25% | fixed P102,500</t>
  </si>
  <si>
    <t xml:space="preserve">Bracket starting at P2,000,000</t>
  </si>
  <si>
    <t xml:space="preserve">30% | fixed P402,500</t>
  </si>
  <si>
    <t xml:space="preserve">Bracket starting at P8,000,000</t>
  </si>
  <si>
    <t xml:space="preserve">35% | fixed P2,202,500</t>
  </si>
  <si>
    <t xml:space="preserve">INCOME TAX DUE (graduated)</t>
  </si>
  <si>
    <t xml:space="preserve">Fixed amount at the bracket floor + rate x (income - floor). Example answer: 212,500</t>
  </si>
  <si>
    <t xml:space="preserve">A2. 8% OPTION (self-employed) vs GRADUATED</t>
  </si>
  <si>
    <t xml:space="preserve">Gross sales/receipts (P)</t>
  </si>
  <si>
    <t xml:space="preserve">Must not exceed P3,000,000 to use the 8% option</t>
  </si>
  <si>
    <t xml:space="preserve">Other non-operating income (P)</t>
  </si>
  <si>
    <t xml:space="preserve">Included in the 8% base</t>
  </si>
  <si>
    <t xml:space="preserve">Mixed income earner? (1 = yes, 0 = no)</t>
  </si>
  <si>
    <t xml:space="preserve">A mixed income earner does NOT get the P250,000 deduction</t>
  </si>
  <si>
    <t xml:space="preserve">8% income tax due</t>
  </si>
  <si>
    <t xml:space="preserve">Pure self-employed: 8% x (gross - 250,000). Mixed: 8% x gross</t>
  </si>
  <si>
    <t xml:space="preserve">Your mixed-income example: compensation tax + 8% tax</t>
  </si>
  <si>
    <t xml:space="preserve">Compensation tax (A above) + business tax = P412,500 for the example</t>
  </si>
  <si>
    <t xml:space="preserve">Less: tax withheld on compensation (P)</t>
  </si>
  <si>
    <t xml:space="preserve">From your original sheet</t>
  </si>
  <si>
    <t xml:space="preserve">TAX STILL PAYABLE</t>
  </si>
  <si>
    <t xml:space="preserve">Example: P150,500</t>
  </si>
  <si>
    <t xml:space="preserve">B. REGULAR CORPORATE INCOME TAX vs MCIT</t>
  </si>
  <si>
    <t xml:space="preserve">Gross income (sales - cost of sales) (P)</t>
  </si>
  <si>
    <t xml:space="preserve">Allowable deductions (P)</t>
  </si>
  <si>
    <t xml:space="preserve">Small corporation? (1 = NTI P5M or below AND assets (no land) P100M or below)</t>
  </si>
  <si>
    <t xml:space="preserve">Use 20% rate if 1, otherwise 25%</t>
  </si>
  <si>
    <t xml:space="preserve">Taxable income</t>
  </si>
  <si>
    <t xml:space="preserve">RCIT</t>
  </si>
  <si>
    <t xml:space="preserve">Rate x taxable income</t>
  </si>
  <si>
    <t xml:space="preserve">MCIT (2% of gross income)</t>
  </si>
  <si>
    <t xml:space="preserve">TAX DUE = higher of RCIT and MCIT</t>
  </si>
  <si>
    <t xml:space="preserve">Example: P500,000</t>
  </si>
  <si>
    <t xml:space="preserve">C. FRINGE BENEFITS TAX</t>
  </si>
  <si>
    <t xml:space="preserve">Monetary value of the benefit (P)</t>
  </si>
  <si>
    <t xml:space="preserve">Use the Fringe Benefits tab to find MV (e.g., leased house: rent x 50%)</t>
  </si>
  <si>
    <t xml:space="preserve">FBT rate (35% for most; 25% for NRA-NETB)</t>
  </si>
  <si>
    <t xml:space="preserve">Grossed-up monetary value</t>
  </si>
  <si>
    <t xml:space="preserve">MV divided by (1 - rate). For 35%: divide by 65%</t>
  </si>
  <si>
    <t xml:space="preserve">FRINGE BENEFITS TAX</t>
  </si>
  <si>
    <t xml:space="preserve">Example: 100,000 / 0.65 x 35% = P53,846</t>
  </si>
  <si>
    <t xml:space="preserve">D. DONOR'S TAX</t>
  </si>
  <si>
    <t xml:space="preserve">Total net gifts in the calendar year (P)</t>
  </si>
  <si>
    <t xml:space="preserve">Add all gifts made in the same calendar year</t>
  </si>
  <si>
    <t xml:space="preserve">Donor's tax = 6% x (gifts - P250,000)</t>
  </si>
  <si>
    <t xml:space="preserve">Example: P30,000</t>
  </si>
  <si>
    <t xml:space="preserve">E. ESTATE TAX (Philippines, married decedent)</t>
  </si>
  <si>
    <t xml:space="preserve">Gross estate: exclusive property (P)</t>
  </si>
  <si>
    <t xml:space="preserve">Gross estate: conjugal/community property (P)</t>
  </si>
  <si>
    <t xml:space="preserve">Ordinary deductions: exclusive (P)</t>
  </si>
  <si>
    <t xml:space="preserve">Ordinary deductions: conjugal/community (P)</t>
  </si>
  <si>
    <t xml:space="preserve">Family home value included in gross estate (P)</t>
  </si>
  <si>
    <t xml:space="preserve">Deduction is capped at P10,000,000</t>
  </si>
  <si>
    <t xml:space="preserve">Amount received by heirs under RA 4917 (P)</t>
  </si>
  <si>
    <t xml:space="preserve">Gross estate</t>
  </si>
  <si>
    <t xml:space="preserve">Gross estate after ordinary deductions</t>
  </si>
  <si>
    <t xml:space="preserve">Share of surviving spouse (half of net conjugal/community)</t>
  </si>
  <si>
    <t xml:space="preserve">Special deductions: standard 5M + family home (max 10M) + RA 4917 + spouse's share</t>
  </si>
  <si>
    <t xml:space="preserve">TAXABLE ESTATE</t>
  </si>
  <si>
    <t xml:space="preserve">ESTATE TAX (6%)</t>
  </si>
  <si>
    <t xml:space="preserve">Example: P870,000</t>
  </si>
  <si>
    <t xml:space="preserve">F. VAT PAYABLE</t>
  </si>
  <si>
    <t xml:space="preserve">Vatable sales (exclusive of VAT) (P)</t>
  </si>
  <si>
    <t xml:space="preserve">Zero-rated sales (P)</t>
  </si>
  <si>
    <t xml:space="preserve">VAT at 0%; input VAT still creditable</t>
  </si>
  <si>
    <t xml:space="preserve">Total creditable input VAT (P)</t>
  </si>
  <si>
    <t xml:space="preserve">Include input VAT on goods, services, and the portion of capital goods you claim</t>
  </si>
  <si>
    <t xml:space="preserve">Output VAT (12% x vatable sales)</t>
  </si>
  <si>
    <t xml:space="preserve">VAT PAYABLE (negative = excess input VAT to carry over/refund)</t>
  </si>
  <si>
    <t xml:space="preserve">Output VAT - Input VAT</t>
  </si>
  <si>
    <t xml:space="preserve">Capital goods cost (P) (to test the 60-month amortization)</t>
  </si>
  <si>
    <t xml:space="preserve">See CHECK THESE #3</t>
  </si>
  <si>
    <t xml:space="preserve">Input VAT on capital goods</t>
  </si>
  <si>
    <t xml:space="preserve">12% x cost</t>
  </si>
  <si>
    <t xml:space="preserve">Amortized input VAT claimable for 3 months (60-month rule)</t>
  </si>
  <si>
    <t xml:space="preserve">Example: P18,000</t>
  </si>
  <si>
    <t xml:space="preserve">G. INSTALLMENT SALE</t>
  </si>
  <si>
    <t xml:space="preserve">Selling price (P)</t>
  </si>
  <si>
    <t xml:space="preserve">Cost of property (P)</t>
  </si>
  <si>
    <t xml:space="preserve">Mortgage assumed by buyer (P)</t>
  </si>
  <si>
    <t xml:space="preserve">Enter 0 if none</t>
  </si>
  <si>
    <t xml:space="preserve">Downpayment + other payments received in the year of sale (P)</t>
  </si>
  <si>
    <t xml:space="preserve">Excess of mortgage over cost</t>
  </si>
  <si>
    <t xml:space="preserve">Initial payments (IP)</t>
  </si>
  <si>
    <t xml:space="preserve">DP + payments in year + excess of mortgage over cost</t>
  </si>
  <si>
    <t xml:space="preserve">IP / SP (must be 25% or less)</t>
  </si>
  <si>
    <t xml:space="preserve">Contract price</t>
  </si>
  <si>
    <t xml:space="preserve">SP - mortgage assumed + excess of mortgage over cost</t>
  </si>
  <si>
    <t xml:space="preserve">Gross profit</t>
  </si>
  <si>
    <t xml:space="preserve">Gross profit rate (GP / CP)</t>
  </si>
  <si>
    <t xml:space="preserve">INCOME REALIZED in the year of sale</t>
  </si>
  <si>
    <t xml:space="preserve">GP rate x collections (IP). Example: P200,000</t>
  </si>
  <si>
    <t xml:space="preserve">H. VANISHING DEDUCTION PERCENTAGE</t>
  </si>
  <si>
    <t xml:space="preserve">Years between the two deaths/gift and death (e.g., 2.5)</t>
  </si>
  <si>
    <t xml:space="preserve">Percentage</t>
  </si>
  <si>
    <t xml:space="preserve">100/80/60/40/20, none after 5 years</t>
  </si>
  <si>
    <t xml:space="preserve">Assumptions: current-law rates as shown on your RATES tab; the individual table is the 2023-onward table. Rates for 'tax years' before 2023 differ. Always confirm against your review materials.</t>
  </si>
  <si>
    <t xml:space="preserve">CHECK THESE - mistakes and doubts I found in your original file</t>
  </si>
  <si>
    <t xml:space="preserve">THE BIG IDEA (read this first): I did not silently change your numbers. Anything doubtful is listed here so you can ask your reviewer. Read this tab today.</t>
  </si>
  <si>
    <t xml:space="preserve">#</t>
  </si>
  <si>
    <t xml:space="preserve">Where</t>
  </si>
  <si>
    <t xml:space="preserve">What I found</t>
  </si>
  <si>
    <t xml:space="preserve">What I did / what you should do</t>
  </si>
  <si>
    <t xml:space="preserve">1</t>
  </si>
  <si>
    <t xml:space="preserve">Filing tab: Mixed Income Earner example</t>
  </si>
  <si>
    <t xml:space="preserve">It used the OLD graduated table (P130,000 + 30% over P800,000, which is the 2018-2022 table). Under the 2023-onward table on your Individuals tab, the tax on P1,240,000 is P102,500 + 25% x 440,000 = P212,500, not P262,000.</t>
  </si>
  <si>
    <t xml:space="preserve">I corrected it: total basic tax = P212,500 + P200,000 (8%) = P412,500; less P262,000 withheld = P150,500 payable. Confirm the CWT figure and table with your reviewer.</t>
  </si>
  <si>
    <t xml:space="preserve">2</t>
  </si>
  <si>
    <t xml:space="preserve">Filing tab: Monthly VAT form 2550M 'optional'</t>
  </si>
  <si>
    <t xml:space="preserve">Your EOPTA tab says VAT filing is now QUARTERLY only (monthly removed). The Filing tab still lists the monthly declaration.</t>
  </si>
  <si>
    <t xml:space="preserve">I kept it but marked it as outdated. For the exam, treat VAT filing as quarterly (2550Q, 25th day).</t>
  </si>
  <si>
    <t xml:space="preserve">3</t>
  </si>
  <si>
    <t xml:space="preserve">Filing tab: VAT example, capital goods amortized over 60 months</t>
  </si>
  <si>
    <t xml:space="preserve">TRAIN's rule of spreading input VAT on capital goods over up to 60 months was set to lapse after 5 years.</t>
  </si>
  <si>
    <t xml:space="preserve">Ask your review center which treatment the board expects. The CALCULATORS tab lets you test either way.</t>
  </si>
  <si>
    <t xml:space="preserve">4</t>
  </si>
  <si>
    <t xml:space="preserve">Individuals tab and CREATE vs TRAIN tab: foreign currency deposit interest</t>
  </si>
  <si>
    <t xml:space="preserve">Different rates in different places (TRAIN 7.5%, CREATE 15%, and your CMEPA update note: uniform 20%).</t>
  </si>
  <si>
    <t xml:space="preserve">I show 20% as the current rule and keep the older numbers as history only.</t>
  </si>
  <si>
    <t xml:space="preserve">5</t>
  </si>
  <si>
    <t xml:space="preserve">Individuals tab: EWT list header says '21 items'</t>
  </si>
  <si>
    <t xml:space="preserve">Only 6 lines are listed, and lines 4 and 6 (beneficiaries of estates and trusts, 15%) are the same rule.</t>
  </si>
  <si>
    <t xml:space="preserve">I merged the duplicate. Get the full 21-item list from the link in your original sheet.</t>
  </si>
  <si>
    <t xml:space="preserve">6</t>
  </si>
  <si>
    <t xml:space="preserve">OPT tab: label 'CREATE' next to Sec. 116 row</t>
  </si>
  <si>
    <t xml:space="preserve">The table shows 3%, which is the rate after June 30, 2023. CREATE's 1% applied only July 1, 2020 to June 30, 2023.</t>
  </si>
  <si>
    <t xml:space="preserve">I show 3% as current and note the 1% window.</t>
  </si>
  <si>
    <t xml:space="preserve">7</t>
  </si>
  <si>
    <t xml:space="preserve">Local Taxes tab: 'who may levy' columns</t>
  </si>
  <si>
    <t xml:space="preserve">The Provinces / Municipalities / Cities / Barangays columns did not line up cleanly in the file. I read the pattern as: provinces may levy the listed taxes; cities may levy what provinces and municipalities may; barangays and municipalities not for these.</t>
  </si>
  <si>
    <t xml:space="preserve">Check Secs. 134-155 of the LGC (RA 7160) to confirm which LGU levies each tax.</t>
  </si>
  <si>
    <t xml:space="preserve">8</t>
  </si>
  <si>
    <t xml:space="preserve">Excise Tax tab: no peso rates</t>
  </si>
  <si>
    <t xml:space="preserve">The sheet lists categories but no per-unit rates.</t>
  </si>
  <si>
    <t xml:space="preserve">I did not invent any. Get the current rate schedule from your review center.</t>
  </si>
  <si>
    <t xml:space="preserve">9</t>
  </si>
  <si>
    <t xml:space="preserve">Remedies tab: thin on timelines</t>
  </si>
  <si>
    <t xml:space="preserve">It had penalties and powers but no prescription periods or protest deadlines (PAN 15 days, FAN protest 30 days, 60 days for documents, 180 days for decision, 30 days to CTA; assessment 3 or 10 years).</t>
  </si>
  <si>
    <t xml:space="preserve">I ADDED these (blue). Verify them.</t>
  </si>
  <si>
    <t xml:space="preserve">10</t>
  </si>
  <si>
    <t xml:space="preserve">EOPTA tab: refund and CTA appeal</t>
  </si>
  <si>
    <t xml:space="preserve">It says the 2-year period was removed and the appeal is within 30 days of denial or lapse of 180 days.</t>
  </si>
  <si>
    <t xml:space="preserve">I kept it exactly. Make sure your review center teaches the same, because refund rules have several parts.</t>
  </si>
  <si>
    <t xml:space="preserve">11</t>
  </si>
  <si>
    <t xml:space="preserve">Estate tab: 'claims against insolvent person' appears twice</t>
  </si>
  <si>
    <t xml:space="preserve">Not an error. It is both a gross estate INCLUSION (for the claim) and an ordinary DEDUCTION.</t>
  </si>
  <si>
    <t xml:space="preserve">Kept both.</t>
  </si>
  <si>
    <t xml:space="preserve">12</t>
  </si>
  <si>
    <t xml:space="preserve">Preferential Taxes tab repeated CREATE MORE</t>
  </si>
  <si>
    <t xml:space="preserve">The same text appeared on two tabs.</t>
  </si>
  <si>
    <t xml:space="preserve">I kept it once (CREATE MORE tab) and pointed to it.</t>
  </si>
  <si>
    <t xml:space="preserve">13</t>
  </si>
  <si>
    <t xml:space="preserve">Typos in the original</t>
  </si>
  <si>
    <t xml:space="preserve">'Excsie Tax', 'OTHER PECENTAGE TAXES', 'Patnerships', 'seperat...', missing letter 'e' in the sources list, etc.</t>
  </si>
  <si>
    <t xml:space="preserve">Fixed silently.</t>
  </si>
  <si>
    <t xml:space="preserve">14</t>
  </si>
  <si>
    <t xml:space="preserve">RATES and HOOKS tabs: items in blue</t>
  </si>
  <si>
    <t xml:space="preserve">Blue = things I added that were not in your original (8% option, OSD, EAR ceilings, assessment timeline, RPT rates, community tax amounts, worked examples).</t>
  </si>
  <si>
    <t xml:space="preserve">Verify each blue item against your review materials before relying on it.</t>
  </si>
  <si>
    <t xml:space="preserve">TRAP: I cannot see your review center's latest handouts, and tax rules change often. Treat this workbook as a study aid and always confirm exam-critical numbers against your review center and the latest BIR issuances.</t>
  </si>
  <si>
    <t xml:space="preserve">GENERAL PRINCIPLES</t>
  </si>
  <si>
    <t xml:space="preserve">THE BIG IDEA (read this first): Taxation is the government's way of collecting money from people and property to run the country. The rest of this tab is just the rules about WHO may tax, HOW, and WHERE the limits are.</t>
  </si>
  <si>
    <t xml:space="preserve">1. WHAT, WHY, AND THE THEORIES</t>
  </si>
  <si>
    <t xml:space="preserve">Concept</t>
  </si>
  <si>
    <t xml:space="preserve">In plain English</t>
  </si>
  <si>
    <t xml:space="preserve">Remember</t>
  </si>
  <si>
    <t xml:space="preserve">Definition</t>
  </si>
  <si>
    <t xml:space="preserve">The process by which the Sovereign (the State), through its law-making body, raises income to pay for government expenses.</t>
  </si>
  <si>
    <t xml:space="preserve">State + Congress + money for government</t>
  </si>
  <si>
    <t xml:space="preserve">Primary purpose</t>
  </si>
  <si>
    <t xml:space="preserve">To RAISE REVENUE.</t>
  </si>
  <si>
    <t xml:space="preserve">Revenue first</t>
  </si>
  <si>
    <t xml:space="preserve">Secondary purposes</t>
  </si>
  <si>
    <t xml:space="preserve">REGULATORY: use tax to steer behaviour (e.g., sin taxes). COMPENSATORY: use tax to even things out or offset a burden.</t>
  </si>
  <si>
    <t xml:space="preserve">Regulate and Compensate</t>
  </si>
  <si>
    <t xml:space="preserve">Lifeblood theory</t>
  </si>
  <si>
    <t xml:space="preserve">Government cannot live without taxes, like a body without blood.</t>
  </si>
  <si>
    <t xml:space="preserve">Lifeblood = survival</t>
  </si>
  <si>
    <t xml:space="preserve">Necessity theory</t>
  </si>
  <si>
    <t xml:space="preserve">The State needs the power to tax to exist at all.</t>
  </si>
  <si>
    <t xml:space="preserve">Necessity = no tax, no State</t>
  </si>
  <si>
    <t xml:space="preserve">Benefits-protection theory</t>
  </si>
  <si>
    <t xml:space="preserve">You pay because you receive protection and services from the government.</t>
  </si>
  <si>
    <t xml:space="preserve">Pay and receive</t>
  </si>
  <si>
    <t xml:space="preserve">2. NATURE, ASPECTS, INHERENT POWERS</t>
  </si>
  <si>
    <t xml:space="preserve">Nature of taxation</t>
  </si>
  <si>
    <t xml:space="preserve">(a) Inherent power of the State (it exists even without a Constitution). (b) Legislative in character (only Congress can impose it). (c) Subject to inherent and constitutional limits.</t>
  </si>
  <si>
    <t xml:space="preserve">Inherent, Legislative, Limited</t>
  </si>
  <si>
    <t xml:space="preserve">Three inherent powers</t>
  </si>
  <si>
    <t xml:space="preserve">TAXATION (takes your money), EMINENT DOMAIN (takes your property, with just compensation), POLICE POWER (restricts your liberty or property for the public welfare).</t>
  </si>
  <si>
    <t xml:space="preserve">T-E-P</t>
  </si>
  <si>
    <t xml:space="preserve">Two aspects of taxation</t>
  </si>
  <si>
    <t xml:space="preserve">1) LEVY / IMPOSITION (a law-making job). 2) ASSESSMENT AND COLLECTION (an administrative job).</t>
  </si>
  <si>
    <t xml:space="preserve">Levy then collect</t>
  </si>
  <si>
    <t xml:space="preserve">How the three powers differ</t>
  </si>
  <si>
    <t xml:space="preserve">Taxation: to raise revenue. Eminent domain: for public use, with just compensation. Police power: for public welfare, no compensation. All three: inherent, legislative, need no Constitution, and the property must go to the public.</t>
  </si>
  <si>
    <t xml:space="preserve">Money / property / liberty</t>
  </si>
  <si>
    <t xml:space="preserve">3. SOUND TAX SYSTEM AND CHARACTERISTICS OF A TAX</t>
  </si>
  <si>
    <t xml:space="preserve">Items</t>
  </si>
  <si>
    <t xml:space="preserve">Sound tax system (3 principles)</t>
  </si>
  <si>
    <t xml:space="preserve">Fiscal ADEQUACY (collects enough), Theoretical JUSTICE (equality; based on ability to pay), Administrative FEASIBILITY (easy to collect and not oppressive).</t>
  </si>
  <si>
    <t xml:space="preserve">F-A-T:  Fiscal, Administrative, Theoretical</t>
  </si>
  <si>
    <t xml:space="preserve">Characteristics of a tax (6)</t>
  </si>
  <si>
    <t xml:space="preserve">(a) Forced contribution. (b) Generally payable in money. (c) Levied for a public purpose. (d) Levied only by the legislature. (e) Levied within the territorial and legal jurisdiction of the State. (f) Proportionate in character.</t>
  </si>
  <si>
    <t xml:space="preserve">Forced, Money, Public, Legislature, Territory, Proportionate</t>
  </si>
  <si>
    <t xml:space="preserve">4. CLASSIFICATIONS OF TAXES</t>
  </si>
  <si>
    <t xml:space="preserve">Classification basis</t>
  </si>
  <si>
    <t xml:space="preserve">Types</t>
  </si>
  <si>
    <t xml:space="preserve">Plain examples</t>
  </si>
  <si>
    <t xml:space="preserve">As to SUBJECT MATTER</t>
  </si>
  <si>
    <t xml:space="preserve">Personal / poll / capitation  |  Property  |  Excise</t>
  </si>
  <si>
    <t xml:space="preserve">Community tax  |  Real property tax  |  Estate tax, VAT, excise</t>
  </si>
  <si>
    <t xml:space="preserve">As to BURDEN</t>
  </si>
  <si>
    <t xml:space="preserve">Direct  |  Indirect</t>
  </si>
  <si>
    <t xml:space="preserve">Direct: income tax (the taxpayer carries the burden). Indirect: VAT (burden can be shifted to the buyer)</t>
  </si>
  <si>
    <t xml:space="preserve">As to TAXING AUTHORITY</t>
  </si>
  <si>
    <t xml:space="preserve">National  |  Local</t>
  </si>
  <si>
    <t xml:space="preserve">BIR taxes  |  LGU taxes</t>
  </si>
  <si>
    <t xml:space="preserve">As to DETERMINATION OF AMOUNT</t>
  </si>
  <si>
    <t xml:space="preserve">Specific  |  Ad valorem</t>
  </si>
  <si>
    <t xml:space="preserve">Specific: fixed amount per unit (per liter, per kilo). Ad valorem: percentage of value</t>
  </si>
  <si>
    <t xml:space="preserve">As to GRADUATION / RATE</t>
  </si>
  <si>
    <t xml:space="preserve">Proportional  |  Progressive  |  Regressive</t>
  </si>
  <si>
    <t xml:space="preserve">Proportional: same rate. Progressive: rate rises as income rises (income tax). Regressive: rate falls as income rises</t>
  </si>
  <si>
    <t xml:space="preserve">5. OTHER IMPOSITIONS (these are NOT taxes)</t>
  </si>
  <si>
    <t xml:space="preserve">Imposition</t>
  </si>
  <si>
    <t xml:space="preserve">Toll</t>
  </si>
  <si>
    <t xml:space="preserve">A fee for the use of a road or bridge, a demand of proprietorship (ownership).</t>
  </si>
  <si>
    <t xml:space="preserve">Pay to pass</t>
  </si>
  <si>
    <t xml:space="preserve">Penalty</t>
  </si>
  <si>
    <t xml:space="preserve">A punishment for breaking a law.</t>
  </si>
  <si>
    <t xml:space="preserve">Punish</t>
  </si>
  <si>
    <t xml:space="preserve">Special assessment</t>
  </si>
  <si>
    <t xml:space="preserve">A charge on land that benefits from a public improvement.</t>
  </si>
  <si>
    <t xml:space="preserve">Pay for a benefit to land</t>
  </si>
  <si>
    <t xml:space="preserve">License fee</t>
  </si>
  <si>
    <t xml:space="preserve">A charge to regulate an activity (police power).</t>
  </si>
  <si>
    <t xml:space="preserve">Regulation</t>
  </si>
  <si>
    <t xml:space="preserve">Customs duty / tariff</t>
  </si>
  <si>
    <t xml:space="preserve">A charge on goods coming in or going out of the country.</t>
  </si>
  <si>
    <t xml:space="preserve">Border tax</t>
  </si>
  <si>
    <t xml:space="preserve">Debt</t>
  </si>
  <si>
    <t xml:space="preserve">A contract obligation. Non-payment of debt is not a crime (no imprisonment for debt), but non-payment of a poll tax is also not punishable by imprisonment.</t>
  </si>
  <si>
    <t xml:space="preserve">Contract, not tax</t>
  </si>
  <si>
    <t xml:space="preserve">Subsidy</t>
  </si>
  <si>
    <t xml:space="preserve">Money the government gives to someone, not collects.</t>
  </si>
  <si>
    <t xml:space="preserve">Government gives</t>
  </si>
  <si>
    <t xml:space="preserve">6. INHERENT LIMITATIONS AND SITUS</t>
  </si>
  <si>
    <t xml:space="preserve">Limit</t>
  </si>
  <si>
    <t xml:space="preserve">1. Public purpose</t>
  </si>
  <si>
    <t xml:space="preserve">Tax money must be spent for the public, not for private gain.</t>
  </si>
  <si>
    <t xml:space="preserve">P</t>
  </si>
  <si>
    <t xml:space="preserve">2. Exemption of the government</t>
  </si>
  <si>
    <t xml:space="preserve">The government does not tax itself (in principle).</t>
  </si>
  <si>
    <t xml:space="preserve">E</t>
  </si>
  <si>
    <t xml:space="preserve">3. Non-delegability</t>
  </si>
  <si>
    <t xml:space="preserve">Only Congress may tax. (Exceptions you should know: LGUs, the President for tariffs, and administrative agencies for details.)</t>
  </si>
  <si>
    <t xml:space="preserve">N</t>
  </si>
  <si>
    <t xml:space="preserve">4. Situs (territoriality)</t>
  </si>
  <si>
    <t xml:space="preserve">A State taxes only what is within its territory or jurisdiction.</t>
  </si>
  <si>
    <t xml:space="preserve">S</t>
  </si>
  <si>
    <t xml:space="preserve">5. International comity</t>
  </si>
  <si>
    <t xml:space="preserve">States respect one another (e.g., a foreign government is not taxed).</t>
  </si>
  <si>
    <t xml:space="preserve">I</t>
  </si>
  <si>
    <t xml:space="preserve">HOOK: Inherent limits = P-E-N-S-I: Public purpose, Exemption of government, Non-delegability, Situs, International comity. ('PENSI')</t>
  </si>
  <si>
    <t xml:space="preserve">Subject matter</t>
  </si>
  <si>
    <t xml:space="preserve">Situs (where it is taxed)</t>
  </si>
  <si>
    <t xml:space="preserve">Example / note</t>
  </si>
  <si>
    <t xml:space="preserve">Persons</t>
  </si>
  <si>
    <t xml:space="preserve">Residence of the taxpayer</t>
  </si>
  <si>
    <t xml:space="preserve">Real property</t>
  </si>
  <si>
    <t xml:space="preserve">Location</t>
  </si>
  <si>
    <t xml:space="preserve">Tangible personal property</t>
  </si>
  <si>
    <t xml:space="preserve">Intangible personal property</t>
  </si>
  <si>
    <t xml:space="preserve">Domicile (residence) of the owner/debtor</t>
  </si>
  <si>
    <t xml:space="preserve">Bank deposits, insurance policies, franchises, copyrights, receivables</t>
  </si>
  <si>
    <t xml:space="preserve">Residence, citizenship, source of income</t>
  </si>
  <si>
    <t xml:space="preserve">Three possible links</t>
  </si>
  <si>
    <t xml:space="preserve">Business</t>
  </si>
  <si>
    <t xml:space="preserve">Place of business</t>
  </si>
  <si>
    <t xml:space="preserve">Services</t>
  </si>
  <si>
    <t xml:space="preserve">Place of performance</t>
  </si>
  <si>
    <t xml:space="preserve">From the Individuals tab</t>
  </si>
  <si>
    <t xml:space="preserve">Shares of stock</t>
  </si>
  <si>
    <t xml:space="preserve">Nationality of the issuing corporation</t>
  </si>
  <si>
    <t xml:space="preserve">7. CONSTITUTIONAL LIMITATIONS (17) - grouped so they are easier to recall</t>
  </si>
  <si>
    <t xml:space="preserve">Group</t>
  </si>
  <si>
    <t xml:space="preserve">Limitation</t>
  </si>
  <si>
    <t xml:space="preserve">FAIRNESS (4)</t>
  </si>
  <si>
    <t xml:space="preserve">1. Due process of law. 2. Equal protection of the law. 3. Uniformity in taxation. 4. Progressive system of taxation.</t>
  </si>
  <si>
    <t xml:space="preserve">Process, Protection, Uniform, Progressive</t>
  </si>
  <si>
    <t xml:space="preserve">RIGHTS (3)</t>
  </si>
  <si>
    <t xml:space="preserve">5. No imprisonment for non-payment of POLL tax. 6. Non-impairment of obligations and contracts. 7. Free exercise of religion (free worship clause).</t>
  </si>
  <si>
    <t xml:space="preserve">Poll, Contract, Worship</t>
  </si>
  <si>
    <t xml:space="preserve">RELIGION AND EDUCATION (3)</t>
  </si>
  <si>
    <t xml:space="preserve">8. Exemption from PROPERTY tax of religious, charitable, non-profit cemeteries, churches and mosques. 9. Exemption from tax of the revenues and assets of non-profit, non-stock educational institutions. 10. No public money or property for the benefit of any church, sect or religion.</t>
  </si>
  <si>
    <t xml:space="preserve">Church property, School revenue, No public money for church</t>
  </si>
  <si>
    <t xml:space="preserve">MONEY AND LAWMAKING (6)</t>
  </si>
  <si>
    <t xml:space="preserve">11. No money out of the Treasury except by appropriation. 12. Tax exemptions need the concurrence of a MAJORITY OF ALL MEMBERS of Congress. 13. Non-diversification of tax collections (special funds). 14. Congress cannot take away the Supreme Court's power to review tax cases. 15. Revenue, appropriation and tariff bills must originate in the HOUSE (the Senate may propose or concur with amendments). 16. The President may veto particular ITEMS in an appropriation, revenue or tariff bill.</t>
  </si>
  <si>
    <t xml:space="preserve">Appropriation, Majority-of-ALL, Special funds, SC review, House first, Item veto</t>
  </si>
  <si>
    <t xml:space="preserve">LOCAL (1)</t>
  </si>
  <si>
    <t xml:space="preserve">17. LGUs may create their own sources of revenue (delegated taxing power).</t>
  </si>
  <si>
    <t xml:space="preserve">LGU power</t>
  </si>
  <si>
    <t xml:space="preserve">TRAP: Tax exemption requires a majority of ALL members of Congress (not just those present). The no-imprisonment rule applies to POLL tax only, not to other taxes.</t>
  </si>
  <si>
    <t xml:space="preserve">8. ESCAPE FROM TAXATION; DOUBLE TAXATION</t>
  </si>
  <si>
    <t xml:space="preserve">Term</t>
  </si>
  <si>
    <t xml:space="preserve">Legal?</t>
  </si>
  <si>
    <t xml:space="preserve">Tax evasion (dodging)</t>
  </si>
  <si>
    <t xml:space="preserve">Illegal act to escape a tax (lying, hiding income, falsifying).</t>
  </si>
  <si>
    <t xml:space="preserve">ILLEGAL</t>
  </si>
  <si>
    <t xml:space="preserve">Tax avoidance (minimization)</t>
  </si>
  <si>
    <t xml:space="preserve">Using legal means to pay less tax.</t>
  </si>
  <si>
    <t xml:space="preserve">Legal</t>
  </si>
  <si>
    <t xml:space="preserve">Shifting</t>
  </si>
  <si>
    <t xml:space="preserve">Passing the tax burden to someone else (e.g., a seller adding VAT to the price).</t>
  </si>
  <si>
    <t xml:space="preserve">Capitalization</t>
  </si>
  <si>
    <t xml:space="preserve">The buyer pays a lower price for property because of expected future taxes (the tax is 'capitalized' into the price).</t>
  </si>
  <si>
    <t xml:space="preserve">Transformation</t>
  </si>
  <si>
    <t xml:space="preserve">The producer absorbs the tax by becoming more efficient, so the price does not rise.</t>
  </si>
  <si>
    <t xml:space="preserve">Exemption</t>
  </si>
  <si>
    <t xml:space="preserve">Taxpayer is freed from the tax by law.</t>
  </si>
  <si>
    <t xml:space="preserve">Double taxation</t>
  </si>
  <si>
    <t xml:space="preserve">DIRECT (obnoxious, not allowed): same property, same tax, same taxing authority, same purpose, same period. INDIRECT (allowed): when one of those elements is missing.</t>
  </si>
  <si>
    <t xml:space="preserve">Direct no, Indirect yes</t>
  </si>
  <si>
    <t xml:space="preserve">HOOK: Only EVASION is illegal. Everything else (avoidance, shifting, capitalization, transformation, exemption) is legal. The textbook trick: 'S.C.T.E.A. plus Evasion.'</t>
  </si>
  <si>
    <t xml:space="preserve">9. SOURCES OF TAX LAW (strongest to weakest)</t>
  </si>
  <si>
    <t xml:space="preserve">Source</t>
  </si>
  <si>
    <t xml:space="preserve">Examples</t>
  </si>
  <si>
    <t xml:space="preserve">1. Constitution</t>
  </si>
  <si>
    <t xml:space="preserve">The supreme law</t>
  </si>
  <si>
    <t xml:space="preserve">Highest</t>
  </si>
  <si>
    <t xml:space="preserve">2. Tax Code (NIRC) and statutes</t>
  </si>
  <si>
    <t xml:space="preserve">Presidential decrees, statutes, executive orders</t>
  </si>
  <si>
    <t xml:space="preserve">Laws</t>
  </si>
  <si>
    <t xml:space="preserve">3. Tax treaties</t>
  </si>
  <si>
    <t xml:space="preserve">Double taxation agreements (DTAs)</t>
  </si>
  <si>
    <t xml:space="preserve">4. Court decisions</t>
  </si>
  <si>
    <t xml:space="preserve">Supreme Court and Court of Tax Appeals</t>
  </si>
  <si>
    <t xml:space="preserve">5. BIR rulings</t>
  </si>
  <si>
    <t xml:space="preserve">6. Revenue issuances</t>
  </si>
  <si>
    <t xml:space="preserve">RRs (Revenue Regulations), RMOs (Revenue Memorandum Orders), RMCs (Revenue Memorandum Circulars)</t>
  </si>
  <si>
    <t xml:space="preserve">Regulation, Memo Order, Memo Circular</t>
  </si>
  <si>
    <t xml:space="preserve">7. Local tax ordinances</t>
  </si>
  <si>
    <t xml:space="preserve">LGU laws</t>
  </si>
  <si>
    <t xml:space="preserve">ADDED BY ME (not in your original; double-check): The Commissioner's powers (16 items) and BIR structure are on the Remedies tab, to avoid repeating them in two places.</t>
  </si>
  <si>
    <t xml:space="preserve">1.  Three inherent powers of the State: Taxation, Eminent domain, Police power.</t>
  </si>
  <si>
    <t xml:space="preserve">2.  Sound tax system = F-A-T (Fiscal adequacy, Administrative feasibility, Theoretical justice).</t>
  </si>
  <si>
    <t xml:space="preserve">3.  Inherent limits = P-E-N-S-I. Constitutional limits = 17; remember the groups.</t>
  </si>
  <si>
    <t xml:space="preserve">4.  Only tax EVASION is illegal; avoidance is legal.</t>
  </si>
  <si>
    <t xml:space="preserve">5.  Situs: income is taxed by residence, citizenship or source; real property by location; intangibles by owner's domicile.</t>
  </si>
  <si>
    <t xml:space="preserve">INDIVIDUALS</t>
  </si>
  <si>
    <t xml:space="preserve">THE BIG IDEA (read this first): First decide WHAT KIND of person you are dealing with. A resident citizen is taxed on everything, everywhere. Everyone else is only taxed on what they earn INSIDE the Philippines. Then match the income to its tax regime.</t>
  </si>
  <si>
    <t xml:space="preserve">1. CLASSIFICATION OF INDIVIDUAL TAXPAYERS</t>
  </si>
  <si>
    <t xml:space="preserve">Type</t>
  </si>
  <si>
    <t xml:space="preserve">Who they are</t>
  </si>
  <si>
    <t xml:space="preserve">Taxed on</t>
  </si>
  <si>
    <t xml:space="preserve">RC - Resident Citizen</t>
  </si>
  <si>
    <t xml:space="preserve">A Filipino living in the Philippines.</t>
  </si>
  <si>
    <t xml:space="preserve">WORLDWIDE income</t>
  </si>
  <si>
    <t xml:space="preserve">NRC - Non-Resident Citizen</t>
  </si>
  <si>
    <t xml:space="preserve">(1) A Filipino who proves to the Commissioner that he is physically abroad with a definite intention to reside there. (2) A Filipino who leaves during the taxable year to reside abroad, as an immigrant or for permanent employment. (3) A Filipino who works abroad and whose job requires him to be physically abroad most of the time during the taxable year. (4) A former NRC who returns to live permanently in the Philippines: NRC for that year for foreign income until the date of arrival.</t>
  </si>
  <si>
    <t xml:space="preserve">Philippine-source income only</t>
  </si>
  <si>
    <t xml:space="preserve">RA - Resident Alien</t>
  </si>
  <si>
    <t xml:space="preserve">An alien actually present in the Philippines who is NOT a mere transient or sojourner: (1) not a tourist (a transient comes for a short purpose that can be done quickly); (2) comes for a definite purpose that needs a long stay, making the Philippines a temporary home; or (3) comes with no definite intention about how long to stay.</t>
  </si>
  <si>
    <t xml:space="preserve">NRA-ETB - Non-Resident Alien engaged in trade or business</t>
  </si>
  <si>
    <t xml:space="preserve">(1) An alien actually engaged in trade or business in the Philippines; or (2) an alien who is in the Philippines for an aggregate period of MORE THAN 180 days during the calendar year.</t>
  </si>
  <si>
    <t xml:space="preserve">NRA-NETB - Non-Resident Alien not engaged in trade or business</t>
  </si>
  <si>
    <t xml:space="preserve">An alien who is in the Philippines for 180 days or less and is not in business here.</t>
  </si>
  <si>
    <t xml:space="preserve">Philippine-source income only; flat 25% final</t>
  </si>
  <si>
    <t xml:space="preserve">HOOK: Only the first one (RC) is taxed on income from the whole world. 'One citizen who LIVES here pays on EVERYTHING; the rest pay only on what was earned HERE.' (Same idea for corporations: only a domestic corporation pays on worldwide income.)</t>
  </si>
  <si>
    <t xml:space="preserve">TRAP: RESIDENT = lives in the PH. CITIZEN = nationality. A non-resident citizen is still a Filipino but is taxed only on Philippine-source income. An alien can be 'resident' (RA) but never taxed on worldwide income.</t>
  </si>
  <si>
    <t xml:space="preserve">2. BASIC INCOME TAX: the graduated table (Sec. 24A) - effective for 2023 onward</t>
  </si>
  <si>
    <t xml:space="preserve">Net taxable income over</t>
  </si>
  <si>
    <t xml:space="preserve">But not over</t>
  </si>
  <si>
    <t xml:space="preserve">0</t>
  </si>
  <si>
    <t xml:space="preserve">P250,000</t>
  </si>
  <si>
    <t xml:space="preserve">P400,000</t>
  </si>
  <si>
    <t xml:space="preserve">P800,000</t>
  </si>
  <si>
    <t xml:space="preserve">P22,500 + 20% of the excess over P400,000</t>
  </si>
  <si>
    <t xml:space="preserve">P2,000,000</t>
  </si>
  <si>
    <t xml:space="preserve">P102,500 + 25% of the excess over P800,000</t>
  </si>
  <si>
    <t xml:space="preserve">P8,000,000</t>
  </si>
  <si>
    <t xml:space="preserve">P402,500 + 30% of the excess over P2,000,000</t>
  </si>
  <si>
    <t xml:space="preserve">no limit</t>
  </si>
  <si>
    <t xml:space="preserve">P2,202,500 + 35% of the excess over P8,000,000</t>
  </si>
  <si>
    <t xml:space="preserve">ADDED BY ME (not in your original; double-check): Recipe for ANY graduated-table answer: (1) find the bracket your income falls in; (2) take the fixed amount at the bottom of that bracket; (3) take the percentage of the EXCESS over the bracket floor; (4) add them. Example: NTI P1,240,000 falls in the 25% bracket. Tax = 102,500 + 25% x (1,240,000 - 800,000 = 440,000 = 110,000) = P212,500.</t>
  </si>
  <si>
    <t xml:space="preserve">3. FINAL WITHHOLDING TAX (FWT) - the income is taxed at the source and that is the END</t>
  </si>
  <si>
    <t xml:space="preserve">RC / NRC / RA</t>
  </si>
  <si>
    <t xml:space="preserve">NRA-ETB</t>
  </si>
  <si>
    <t xml:space="preserve">Interest on PH-currency bank deposit, deposit substitute, trust fund and similar</t>
  </si>
  <si>
    <t xml:space="preserve">Interest on foreign currency deposit (expanded FCDS)</t>
  </si>
  <si>
    <t xml:space="preserve">RC and RA: 20%.  NRC: exempt</t>
  </si>
  <si>
    <t xml:space="preserve">Royalties: others</t>
  </si>
  <si>
    <t xml:space="preserve">Tax table (regular income)</t>
  </si>
  <si>
    <t xml:space="preserve">Tax table</t>
  </si>
  <si>
    <t xml:space="preserve">See Dividends tab (10% for RC/NRC/RA, 20% for NRA-ETB)</t>
  </si>
  <si>
    <t xml:space="preserve">Share in distributable net income AFTER TAX of a partnership (except GPP), association, joint account, taxable JV, consortium</t>
  </si>
  <si>
    <t xml:space="preserve">ADDED BY ME (not in your original; double-check): Your tax-update note (CMEPA): all interest from ANY currency bank deposit, deposit substitute, trust fund and similar instruments is now uniformly 20%. That means the older separate treatment of foreign currency deposits (older rates of 7.5% and 15% on the CREATE vs TRAIN tab) is history. Ask your reviewer how the board expects the foreign-currency row to be answered.</t>
  </si>
  <si>
    <t xml:space="preserve">4. CREDITABLE WITHHOLDING TAX (CWT) - a prepayment, credited against the final income tax</t>
  </si>
  <si>
    <t xml:space="preserve">What it is</t>
  </si>
  <si>
    <t xml:space="preserve">Withholding tax on COMPENSATION</t>
  </si>
  <si>
    <t xml:space="preserve">Employer withholds based on the BIR table, using the graduated rates. If the employee has only ONE employer and the tax was correctly withheld, 'substituted filing' means no return is needed.</t>
  </si>
  <si>
    <t xml:space="preserve">Employer = withholding agent</t>
  </si>
  <si>
    <t xml:space="preserve">EXPANDED withholding tax (EWT)</t>
  </si>
  <si>
    <t xml:space="preserve">Withheld on specified business payments (professional fees, rentals, contractors, etc.). See the RATES tab, Section C, for the rates.</t>
  </si>
  <si>
    <t xml:space="preserve">Rent 5, contractors 2, professionals 5/10 or 10/15</t>
  </si>
  <si>
    <t xml:space="preserve">TRAP: Your original lists beneficiaries of estates (15%) twice (items 4 and 6), because they are the same item worded differently. It is just one rule: 15% on income distributed to beneficiaries of estates and trusts.</t>
  </si>
  <si>
    <t xml:space="preserve">5. CAPITAL GAINS TAX (CGT)</t>
  </si>
  <si>
    <t xml:space="preserve">Sale of...</t>
  </si>
  <si>
    <t xml:space="preserve">Rate (all individuals)</t>
  </si>
  <si>
    <t xml:space="preserve">Shares of a domestic corporation, NOT listed and traded, held as a capital asset</t>
  </si>
  <si>
    <t xml:space="preserve">Net capital gain</t>
  </si>
  <si>
    <t xml:space="preserve">Real property in the Philippines, held as a capital asset</t>
  </si>
  <si>
    <t xml:space="preserve">Higher of selling price or FMV (zonal value)</t>
  </si>
  <si>
    <t xml:space="preserve">6. MINIMUM WAGE EARNERS (MWEs) - RR No. 11-2018</t>
  </si>
  <si>
    <t xml:space="preserve">Exempt from income tax AND withholding tax</t>
  </si>
  <si>
    <t xml:space="preserve">Still TAXABLE for an MWE</t>
  </si>
  <si>
    <t xml:space="preserve">Statutory minimum wage; holiday pay; overtime pay; night shift differential; hazard pay; 13th month pay and other benefits (up to P90,000).</t>
  </si>
  <si>
    <t xml:space="preserve">Commissions, honoraria, fringe benefits, taxable allowances, benefits above P90,000, and any other taxable income - taxed using the TRAIN withholding table.</t>
  </si>
  <si>
    <t xml:space="preserve">HOOK: MWE exemption = the BASIC stuff only (basic wage + OT + holiday + night + hazard + P90k benefits). Anything EXTRA is taxable.</t>
  </si>
  <si>
    <t xml:space="preserve">1.  Only RC pays on worldwide income. NRC, RA, NRA pay only on Philippine-source.</t>
  </si>
  <si>
    <t xml:space="preserve">2.  NRA-NETB pays 25% flat on everything (final).</t>
  </si>
  <si>
    <t xml:space="preserve">3.  Final tax: interest 20%, royalties 20% (10% for books/music), prizes over P10,000 20%.</t>
  </si>
  <si>
    <t xml:space="preserve">4.  CGT: 15% on net gains from unlisted shares; 6% on real property.</t>
  </si>
  <si>
    <t xml:space="preserve">5.  NRA is ETB if in the Philippines for MORE than 180 days in the year.</t>
  </si>
  <si>
    <t xml:space="preserve">CORPORATIONS</t>
  </si>
  <si>
    <t xml:space="preserve">THE BIG IDEA (read this first): Three kinds of corporations: Domestic (DC, formed in the Philippines, taxed on worldwide income), Resident Foreign (RFC, foreign corporation doing business here, taxed on PH income), and Non-Resident Foreign (NRFC, foreign corporation NOT doing business here, taxed on PH income at a flat final 25%).</t>
  </si>
  <si>
    <t xml:space="preserve">1. BASIC INCOME TAX</t>
  </si>
  <si>
    <t xml:space="preserve">DC</t>
  </si>
  <si>
    <t xml:space="preserve">RFC</t>
  </si>
  <si>
    <t xml:space="preserve">NRFC</t>
  </si>
  <si>
    <t xml:space="preserve">Regular corporate income tax (RCIT)</t>
  </si>
  <si>
    <t xml:space="preserve">25% of taxable income</t>
  </si>
  <si>
    <t xml:space="preserve">25% FINAL withholding tax on GROSS income</t>
  </si>
  <si>
    <t xml:space="preserve">Effective since</t>
  </si>
  <si>
    <t xml:space="preserve">July 1, 2020</t>
  </si>
  <si>
    <t xml:space="preserve">January 1, 2021</t>
  </si>
  <si>
    <t xml:space="preserve">Exception: small DC</t>
  </si>
  <si>
    <t xml:space="preserve">20% if net taxable income is P5,000,000 or below AND total assets (excluding land) are P100,000,000 or below</t>
  </si>
  <si>
    <t xml:space="preserve">N/A</t>
  </si>
  <si>
    <t xml:space="preserve">Minimum corporate income tax (MCIT)</t>
  </si>
  <si>
    <t xml:space="preserve">2% of GROSS income</t>
  </si>
  <si>
    <t xml:space="preserve">HOOK: 'RCIT is on the NET, MCIT is on the GROSS. Pay whichever is HIGHER.' If MCIT is higher, the excess over RCIT can be carried forward as a credit (standard rule; added).</t>
  </si>
  <si>
    <t xml:space="preserve">ADDED BY ME (not in your original; double-check): MCIT begins on the 4th taxable year after the corporation started doing business. The small-corporation test needs BOTH conditions (5M income AND 100M assets). Your own note says: use 25% for regular corporations and 20% for MSMEs, no need to pro-rate.</t>
  </si>
  <si>
    <t xml:space="preserve">2. FINAL WITHHOLDING TAX ON CORPORATIONS</t>
  </si>
  <si>
    <t xml:space="preserve">Interest on PH currency bank deposit, deposit substitute, trust fund</t>
  </si>
  <si>
    <t xml:space="preserve">Interest on foreign currency deposit (FCDS)</t>
  </si>
  <si>
    <t xml:space="preserve">20% (CMEPA)</t>
  </si>
  <si>
    <t xml:space="preserve">Royalties from PH sources</t>
  </si>
  <si>
    <t xml:space="preserve">See Dividends tab</t>
  </si>
  <si>
    <t xml:space="preserve">3. CAPITAL GAINS TAX ON CORPORATIONS</t>
  </si>
  <si>
    <t xml:space="preserve">Unlisted shares of a domestic corporation, held as a capital asset (net gain)</t>
  </si>
  <si>
    <t xml:space="preserve">Real property in the Philippines, held as a capital asset (higher of SP or FMV)</t>
  </si>
  <si>
    <t xml:space="preserve">4. SPECIAL CORPORATIONS</t>
  </si>
  <si>
    <t xml:space="preserve">Corporation</t>
  </si>
  <si>
    <t xml:space="preserve">Proprietary educational institutions and non-profit hospitals (if unrelated income is not more than 50% of total gross income)</t>
  </si>
  <si>
    <t xml:space="preserve">10% on net income</t>
  </si>
  <si>
    <t xml:space="preserve">Domestic</t>
  </si>
  <si>
    <t xml:space="preserve">Non-stock, non-profit educational institutions (assets and revenues used actually, directly and exclusively for education) and other non-profits</t>
  </si>
  <si>
    <t xml:space="preserve">International carriers</t>
  </si>
  <si>
    <t xml:space="preserve">2.5% of Gross Philippine Billings</t>
  </si>
  <si>
    <t xml:space="preserve">Non-resident cinematographic film owner, lessor or distributor</t>
  </si>
  <si>
    <t xml:space="preserve">25% of gross income</t>
  </si>
  <si>
    <t xml:space="preserve">Non-resident lessors of aircraft, machinery and other equipment</t>
  </si>
  <si>
    <t xml:space="preserve">7.5% of gross rentals, charters and fees</t>
  </si>
  <si>
    <t xml:space="preserve">4.5% of gross rentals and charter fees</t>
  </si>
  <si>
    <t xml:space="preserve">Regional operating headquarters (ROHQs) earning PH income</t>
  </si>
  <si>
    <t xml:space="preserve">25% RCIT and 2% MCIT (like a regular RFC)</t>
  </si>
  <si>
    <t xml:space="preserve">Regional or area headquarters of multinationals that do NOT earn PH income (supervise, communicate, coordinate for affiliates)</t>
  </si>
  <si>
    <t xml:space="preserve">OBUs and FCDUs of depository banks</t>
  </si>
  <si>
    <t xml:space="preserve">Branch profit remittance (total profits applied or earmarked for remittance, with no deduction for the tax itself)</t>
  </si>
  <si>
    <t xml:space="preserve">TRAP: ROHQ vs RHQ: ROHQ (regional OPERATING headquarters) earns PH income and now pays regular 25%. RHQ (regional or AREA headquarters) earns NO PH income and is exempt. One letter changes everything.</t>
  </si>
  <si>
    <t xml:space="preserve">5. EXEMPT GOVERNMENT-OWNED OR CONTROLLED CORPORATIONS (GOCCs)</t>
  </si>
  <si>
    <t xml:space="preserve">•  GSIS (Government Service Insurance System)</t>
  </si>
  <si>
    <t xml:space="preserve">•  SSS (Social Security System)</t>
  </si>
  <si>
    <t xml:space="preserve">•  HDMF / Pag-IBIG (Home Development Mutual Fund)</t>
  </si>
  <si>
    <t xml:space="preserve">•  PhilHealth (Philippine Health Insurance Corporation)</t>
  </si>
  <si>
    <t xml:space="preserve">•  Local water districts</t>
  </si>
  <si>
    <t xml:space="preserve">HOOK: 'G-S-H-P-W': GSIS, SSS, HDMF, PhilHealth, Water districts. Think: the places where your contributions go.</t>
  </si>
  <si>
    <t xml:space="preserve">6. EXEMPT CORPORATIONS (Sec. 30) - grouped by theme</t>
  </si>
  <si>
    <t xml:space="preserve">Exempt organizations</t>
  </si>
  <si>
    <t xml:space="preserve">Common thread</t>
  </si>
  <si>
    <t xml:space="preserve">Work and farming</t>
  </si>
  <si>
    <t xml:space="preserve">Labor, agricultural or horticultural organizations not organized principally for profit; farmers' or fruit growers' associations that market members' products and turn back the proceeds; farmers' mutual typhoon/fire insurance, mutual ditch or irrigation, mutual or cooperative telephone and like local organizations funded only by member dues</t>
  </si>
  <si>
    <t xml:space="preserve">Members help each other; no profit</t>
  </si>
  <si>
    <t xml:space="preserve">Mutual banks and benefit societies</t>
  </si>
  <si>
    <t xml:space="preserve">Mutual savings banks without capital stock; cooperative banks without capital stock; beneficiary societies/fraternal orders on the lodge system; mutual aid associations; non-stock employee corporations paying life, sickness or accident benefits to members only</t>
  </si>
  <si>
    <t xml:space="preserve">Benefits stay with members</t>
  </si>
  <si>
    <t xml:space="preserve">Burial</t>
  </si>
  <si>
    <t xml:space="preserve">Cemetery company owned and operated exclusively for the benefit of its members</t>
  </si>
  <si>
    <t xml:space="preserve">Members only</t>
  </si>
  <si>
    <t xml:space="preserve">Religious, charitable and similar</t>
  </si>
  <si>
    <t xml:space="preserve">Non-stock corporation or association organized and operated exclusively for religious, charitable, scientific, athletic, or cultural purposes, or rehabilitation of veterans, with no part of net income benefiting any person</t>
  </si>
  <si>
    <t xml:space="preserve">No private benefit</t>
  </si>
  <si>
    <t xml:space="preserve">Business and civic</t>
  </si>
  <si>
    <t xml:space="preserve">Business league, chamber of commerce or board of trade not organized for profit; civic league operated exclusively for social welfare</t>
  </si>
  <si>
    <t xml:space="preserve">Not for profit</t>
  </si>
  <si>
    <t xml:space="preserve">Education</t>
  </si>
  <si>
    <t xml:space="preserve">Non-stock and non-profit educational institutions; government educational institutions</t>
  </si>
  <si>
    <t xml:space="preserve">TRAP: Exempt from INCOME tax does not mean exempt from everything. A tax-exempt corporation can still owe tax on income from its commercial activities in some situations, and still pays VAT and other taxes unless a law specifically exempts them.</t>
  </si>
  <si>
    <t xml:space="preserve">1.  RCIT 25% on net; 20% for small DC (5M income AND 100M assets); MCIT 2% on gross.</t>
  </si>
  <si>
    <t xml:space="preserve">2.  NRFC pays 25% FINAL on gross income.</t>
  </si>
  <si>
    <t xml:space="preserve">3.  Special: 2.5 (carriers' GPB), 7.5 (leases), 4.5 (vessels), 25 (films), 15 (branch profit).</t>
  </si>
  <si>
    <t xml:space="preserve">4.  Proprietary schools and non-profit hospitals: 10% (unrelated income 50% or less).</t>
  </si>
  <si>
    <t xml:space="preserve">5.  ROHQ and OBU/FCDU are now regular 25% + 2%. RHQ with no PH income is exempt.</t>
  </si>
  <si>
    <t xml:space="preserve">DIVIDENDS</t>
  </si>
  <si>
    <t xml:space="preserve">THE BIG IDEA (read this first): A dividend is a share of profits paid to a shareholder. The tax depends on THREE things: who PAYS it (DC, RFC, NRFC), who RECEIVES it (the 8 taxpayer types), and (for foreign payers) whether the profits were earned inside the Philippines.</t>
  </si>
  <si>
    <t xml:space="preserve">1. THE DIVIDEND GRID (read from FROM-row to TO-column)</t>
  </si>
  <si>
    <t xml:space="preserve">FROM / TO</t>
  </si>
  <si>
    <t xml:space="preserve">RC</t>
  </si>
  <si>
    <t xml:space="preserve">NRC</t>
  </si>
  <si>
    <t xml:space="preserve">RA</t>
  </si>
  <si>
    <t xml:space="preserve">From a DC</t>
  </si>
  <si>
    <t xml:space="preserve">From an RFC</t>
  </si>
  <si>
    <t xml:space="preserve">Tax table*</t>
  </si>
  <si>
    <t xml:space="preserve">From an NRFC</t>
  </si>
  <si>
    <t xml:space="preserve">N/A**</t>
  </si>
  <si>
    <t xml:space="preserve">25%*</t>
  </si>
  <si>
    <t xml:space="preserve">15% (with tax sparing) or 25% (without)</t>
  </si>
  <si>
    <t xml:space="preserve">Exempt (or ordinary income)***</t>
  </si>
  <si>
    <t xml:space="preserve">Ordinary income*</t>
  </si>
  <si>
    <t xml:space="preserve">*  assuming the dividend passed the predominance test (it is earned INSIDE the Philippines).     **  assuming it did NOT pass the predominance test (earned OUTSIDE the Philippines, so not taxable here).     ***  see the requirements below.</t>
  </si>
  <si>
    <t xml:space="preserve">2. THE PREDOMINANCE TEST (for dividends from foreign corporations)</t>
  </si>
  <si>
    <t xml:space="preserve">Look at this ratio</t>
  </si>
  <si>
    <t xml:space="preserve">Result</t>
  </si>
  <si>
    <t xml:space="preserve">Meaning</t>
  </si>
  <si>
    <t xml:space="preserve">Philippine gross income / worldwide gross income, over the 3-year period before the year of declaration, is AT LEAST 50%</t>
  </si>
  <si>
    <t xml:space="preserve">The dividend, in the proportion of the Philippine gross income ratio, is earned INSIDE the Philippines</t>
  </si>
  <si>
    <t xml:space="preserve">Taxable in the Philippines</t>
  </si>
  <si>
    <t xml:space="preserve">The ratio is LESS than 50%</t>
  </si>
  <si>
    <t xml:space="preserve">The ENTIRE dividend is earned OUTSIDE the Philippines</t>
  </si>
  <si>
    <t xml:space="preserve">Not taxable in the Philippines</t>
  </si>
  <si>
    <t xml:space="preserve">3. WHEN A DC MAY RECEIVE FOREIGN DIVIDENDS TAX-EXEMPT (5 requirements)</t>
  </si>
  <si>
    <t xml:space="preserve">Requirement</t>
  </si>
  <si>
    <t xml:space="preserve">Trick</t>
  </si>
  <si>
    <t xml:space="preserve">The funds actually received or remitted into the Philippines are reinvested in the business operations of the domestic corporation.</t>
  </si>
  <si>
    <t xml:space="preserve">Reinvest</t>
  </si>
  <si>
    <t xml:space="preserve">The reinvestment is made within the NEXT taxable year from the time the dividends were received.</t>
  </si>
  <si>
    <t xml:space="preserve">1 year</t>
  </si>
  <si>
    <t xml:space="preserve">Reinvestment is limited to working capital, capital expenditures, dividend payments, investment in domestic subsidiaries and infrastructure projects.</t>
  </si>
  <si>
    <t xml:space="preserve">Limited uses</t>
  </si>
  <si>
    <t xml:space="preserve">The DC holds DIRECTLY at least 20% of the outstanding shares of the foreign corporation.</t>
  </si>
  <si>
    <t xml:space="preserve">The DC has held the shares for at least 2 YEARS at the time of the dividend distribution.</t>
  </si>
  <si>
    <t xml:space="preserve">2 years</t>
  </si>
  <si>
    <t xml:space="preserve">HOOK: '20-2-1': 20% of the shares, held 2 years, reinvested within 1 year. Memorize it in that order.</t>
  </si>
  <si>
    <t xml:space="preserve">TRAP: A tax-sparing agreement lowers the dividend tax paid by a NON-resident foreign corporation from 25% to 15%. Do not mix it up with the 20% requirement.</t>
  </si>
  <si>
    <t xml:space="preserve">PARTNERSHIP, CO-OWNERSHIP, JOINT VENTURE (and estate/trust)</t>
  </si>
  <si>
    <t xml:space="preserve">THE BIG IDEA (read this first): Partnerships and joint ventures are generally treated like corporations. Co-ownerships are generally NOT taxed (the co-owners are). The exceptions are where it gets tested.</t>
  </si>
  <si>
    <t xml:space="preserve">1. PARTNERSHIP</t>
  </si>
  <si>
    <t xml:space="preserve">General rule</t>
  </si>
  <si>
    <t xml:space="preserve">A partnership is TAXABLE AS A CORPORATION (25% RCIT, 2% MCIT).</t>
  </si>
  <si>
    <t xml:space="preserve">Partnership = Corporation</t>
  </si>
  <si>
    <t xml:space="preserve">Ordinary partnership</t>
  </si>
  <si>
    <t xml:space="preserve">Taxable as a corporation. The partners are then taxed on their share in the net income AFTER tax (10% FWT for RC/NRC/RA).</t>
  </si>
  <si>
    <t xml:space="preserve">Taxed twice-ish</t>
  </si>
  <si>
    <t xml:space="preserve">General Professional Partnership (GPP)</t>
  </si>
  <si>
    <t xml:space="preserve">NOT taxable. The partners are taxed on their distributive share, whether or not distributed. Three requirements: (a) the partners have a COMMON profession; (b) formed for the SOLE purpose of exercising that profession; (c) NO part of its income is from trade or business.</t>
  </si>
  <si>
    <t xml:space="preserve">Pass-through; C-S-N: Common profession, Sole purpose, No business</t>
  </si>
  <si>
    <t xml:space="preserve">2. CO-OWNERSHIP</t>
  </si>
  <si>
    <t xml:space="preserve">Detail</t>
  </si>
  <si>
    <t xml:space="preserve">NOT subject to income tax. Each co-owner reports his own share.</t>
  </si>
  <si>
    <t xml:space="preserve">Exceptions (treated as a taxable partnership/corporation)</t>
  </si>
  <si>
    <t xml:space="preserve">(a) The co-owners appoint an administrator who manages the affairs by investing so that profits are realized. (b) The co-owners use the common property or its income as a common fund with the intent to make profits. (c) The property remains undivided for more than 10 years with no attempt to divide it among the co-heirs, and it is not under administration proceedings or held in trust. (d) In all other cases where the activities go beyond mere preservation of the co-owned property.</t>
  </si>
  <si>
    <t xml:space="preserve">HOOK: Co-ownership stays free only if you just KEEP the property. The moment you INVEST, pool money for profit, or wait more than 10 years, it becomes a taxable partnership.</t>
  </si>
  <si>
    <t xml:space="preserve">3. JOINT VENTURE</t>
  </si>
  <si>
    <t xml:space="preserve">Taxable as a corporation.</t>
  </si>
  <si>
    <t xml:space="preserve">EXEMPT: construction projects</t>
  </si>
  <si>
    <t xml:space="preserve">(a) Formed to undertake a construction project; (b) involves pooling of resources by licensed local contractors (general contractors licensed by the PCAB of the DTI); (c) the local contractors are engaged in the construction business; (d) the JV itself is also duly licensed by the PCAB.</t>
  </si>
  <si>
    <t xml:space="preserve">Foreign contractors</t>
  </si>
  <si>
    <t xml:space="preserve">(a) The foreign contractor member has a special PCAB license; (b) the project is certified by the Tendering Agency (government office) as foreign-financed or internationally funded, with international bidding allowed under a bilateral agreement.</t>
  </si>
  <si>
    <t xml:space="preserve">EXEMPT: energy operations</t>
  </si>
  <si>
    <t xml:space="preserve">Petroleum, coal, geothermal and other energy operations under an operating or consortium agreement under a service contract with the government.</t>
  </si>
  <si>
    <t xml:space="preserve">1.  Partnership and JV = taxed like a corporation.</t>
  </si>
  <si>
    <t xml:space="preserve">2.  GPP is NOT taxed; partners are taxed on their distributive share.</t>
  </si>
  <si>
    <t xml:space="preserve">3.  Co-ownership is not taxed unless it invests, pools for profit, or stays undivided more than 10 years.</t>
  </si>
  <si>
    <t xml:space="preserve">4.  Exempt JVs: construction (PCAB-licensed) and energy (service contract with government).</t>
  </si>
  <si>
    <t xml:space="preserve">5.  Share in a taxable partnership's net income after tax: 10% FWT (RC/NRC/RA), 20% NRA-ETB, 25% NRA-NETB.</t>
  </si>
  <si>
    <t xml:space="preserve">GROSS INCOME</t>
  </si>
  <si>
    <t xml:space="preserve">THE BIG IDEA (read this first): Gross income is everything you earn that the law says is taxable, MINUS the items the law specifically excludes. If it is not on the exclusion list, assume it is taxable.</t>
  </si>
  <si>
    <t xml:space="preserve">1. WHAT IS INCLUDED (11 items)</t>
  </si>
  <si>
    <t xml:space="preserve">Inclusion</t>
  </si>
  <si>
    <t xml:space="preserve">Trick letter</t>
  </si>
  <si>
    <t xml:space="preserve">Compensation for services in whatever form paid (fees, salaries, wages, commissions, and similar items)</t>
  </si>
  <si>
    <t xml:space="preserve">C - Compensation</t>
  </si>
  <si>
    <t xml:space="preserve">Gross income from trade or business or the exercise of a profession</t>
  </si>
  <si>
    <t xml:space="preserve">B - Business</t>
  </si>
  <si>
    <t xml:space="preserve">Gains derived from dealings in property</t>
  </si>
  <si>
    <t xml:space="preserve">G - Gains</t>
  </si>
  <si>
    <t xml:space="preserve">Interests</t>
  </si>
  <si>
    <t xml:space="preserve">I - Interest</t>
  </si>
  <si>
    <t xml:space="preserve">Rents</t>
  </si>
  <si>
    <t xml:space="preserve">R - Rents</t>
  </si>
  <si>
    <t xml:space="preserve">Royalties</t>
  </si>
  <si>
    <t xml:space="preserve">R - Royalties</t>
  </si>
  <si>
    <t xml:space="preserve">D - Dividends</t>
  </si>
  <si>
    <t xml:space="preserve">Annuities</t>
  </si>
  <si>
    <t xml:space="preserve">A - Annuities</t>
  </si>
  <si>
    <t xml:space="preserve">Prizes and winnings</t>
  </si>
  <si>
    <t xml:space="preserve">P - Prizes</t>
  </si>
  <si>
    <t xml:space="preserve">Pensions</t>
  </si>
  <si>
    <t xml:space="preserve">P - Pensions</t>
  </si>
  <si>
    <t xml:space="preserve">Partner's distributive share from the net income of a general professional partnership (GPP)</t>
  </si>
  <si>
    <t xml:space="preserve">P - Partner's share</t>
  </si>
  <si>
    <t xml:space="preserve">HOOK: 'Cats Be Getting Itchy, Rubbing Rugs, Digging Anthills, Playing, Pouncing, Prowling.' (C-B-G-I-R-R-D-A-P-P-P). Silly, but you will never forget all 11.</t>
  </si>
  <si>
    <t xml:space="preserve">2. PRIZES AND WINNINGS (inside vs outside the Philippines)</t>
  </si>
  <si>
    <t xml:space="preserve">Within the Philippines</t>
  </si>
  <si>
    <t xml:space="preserve">Outside the Philippines</t>
  </si>
  <si>
    <t xml:space="preserve">Prizes of P10,000 or less</t>
  </si>
  <si>
    <t xml:space="preserve">PCSO and Lotto winnings of P10,000 or less</t>
  </si>
  <si>
    <t xml:space="preserve">3. WHAT IS EXCLUDED (not part of gross income)</t>
  </si>
  <si>
    <t xml:space="preserve">Exclusion</t>
  </si>
  <si>
    <t xml:space="preserve">Trap / trick</t>
  </si>
  <si>
    <t xml:space="preserve">Life insurance proceeds</t>
  </si>
  <si>
    <t xml:space="preserve">Paid to heirs or beneficiaries on the death of the insured, in a lump sum or otherwise.</t>
  </si>
  <si>
    <t xml:space="preserve">If the insurer HOLDS the money and pays you INTEREST, the interest is taxable.</t>
  </si>
  <si>
    <t xml:space="preserve">Return of premiums</t>
  </si>
  <si>
    <t xml:space="preserve">Amounts received by the insured as a return of premiums paid under life insurance, endowment or annuity contracts (during the term, at maturity, or on surrender).</t>
  </si>
  <si>
    <t xml:space="preserve">You only get back your own money.</t>
  </si>
  <si>
    <t xml:space="preserve">Gifts, bequests, devises, descent</t>
  </si>
  <si>
    <t xml:space="preserve">The VALUE of property acquired by gift, bequest, devise or descent.</t>
  </si>
  <si>
    <t xml:space="preserve">The INCOME EARNED from that property is taxable.</t>
  </si>
  <si>
    <t xml:space="preserve">Compensation for injuries or sickness</t>
  </si>
  <si>
    <t xml:space="preserve">Amounts received through accident or health insurance, or workmen's compensation, plus damages received (by suit or agreement) for injuries or sickness.</t>
  </si>
  <si>
    <t xml:space="preserve">Income exempt under treaty</t>
  </si>
  <si>
    <t xml:space="preserve">Retirement benefits, pensions, gratuities</t>
  </si>
  <si>
    <t xml:space="preserve">(a) Retirement benefits under RA 7641. (b) Amounts received by an official or employee, or his heirs, because of separation from service due to death, sickness, other physical disability or any cause beyond the control of the official or employee. (c) Foreign social security benefits, retirement gratuities and pensions received by resident/non-resident citizens or aliens who come to reside permanently in the Philippines. (d) Benefits from the US Veterans Administration for persons residing in the Philippines. (e) SSS benefits (RA 8282). (f) GSIS benefits (RA 8291).</t>
  </si>
  <si>
    <t xml:space="preserve">Separation must be for a cause BEYOND your control.</t>
  </si>
  <si>
    <t xml:space="preserve">Miscellaneous items</t>
  </si>
  <si>
    <t xml:space="preserve">(a) Income of a foreign government. (b) Income of the Philippine government and its political subdivisions. (c) Prizes and awards made primarily in recognition of religious, charitable, scientific, educational, artistic, literary or civic achievement (provided you did not enter the contest and are not required to render substantial future services). (d) Prizes and awards to athletes in local and international sports competitions sanctioned by their national sports associations. (e) 13th month pay and other benefits, up to P90,000 TOTAL. (f) GSIS, SSS, Medicare and other contributions. (g) Gains from the sale of bonds, debentures or other certificates of indebtedness with a maturity of MORE than 5 years. (h) Gains from the redemption of shares in a mutual fund. (i) Income from the sale of gold to the BSP under RA 7076 (People's Small-Scale Mining Act).</t>
  </si>
  <si>
    <t xml:space="preserve">The P90,000 is a COMBINED ceiling for 13th month pay and other benefits.</t>
  </si>
  <si>
    <t xml:space="preserve">Benefits of government officials and employees</t>
  </si>
  <si>
    <t xml:space="preserve">Not subject to income tax and withholding tax: (a) fringe benefits already subject to the fringe benefits tax; (b) RATA (representation and transportation allowance) under the GAA; (c) PERA (Personnel Economic Relief Allowance); (d) the monetized value of leave credits; (e) mandatory GSIS, Medicare and Pag-IBIG contributions; (f) union dues of individual employees; (g) compensation income of government employees not more than the statutory minimum wage in the non-agricultural sector for the area; (h) holiday pay, overtime pay, night shift differential and hazard pay received by MWEs; (i) benefits under GSIS Act of 1937 and retirement gratuity under pertinent retirement laws.</t>
  </si>
  <si>
    <t xml:space="preserve">Government: RATA, PERA, leave credits (R-P-L).</t>
  </si>
  <si>
    <t xml:space="preserve">HOOK: Exclusions in one breath: 'Death, Return, Gift, Hurt, Treaty, Retire, Misc.' (Life insurance on death, Return of premium, Gifts, injury Compensation, Treaty, Retirement benefits, Miscellaneous.)</t>
  </si>
  <si>
    <t xml:space="preserve">1.  Gross income = 11 inclusions (C-B-G-I-R-R-D-A-P-P-P).</t>
  </si>
  <si>
    <t xml:space="preserve">2.  Gifts and inheritances are excluded, but the INCOME from them is taxable.</t>
  </si>
  <si>
    <t xml:space="preserve">3.  Life insurance proceeds on death are excluded, but interest on held proceeds is taxable.</t>
  </si>
  <si>
    <t xml:space="preserve">4.  13th month pay and other benefits: exempt up to P90,000.</t>
  </si>
  <si>
    <t xml:space="preserve">5.  Sale of bonds with a maturity of more than 5 years: gain excluded.</t>
  </si>
  <si>
    <t xml:space="preserve">DEDUCTIONS</t>
  </si>
  <si>
    <t xml:space="preserve">THE BIG IDEA (read this first): A deduction is an expense the law lets you subtract from gross income to arrive at taxable income. Rule of thumb: it must be a NORMAL business expense, in THIS year, with PROOF. Each special deduction has its own checklist (the 'requisites') - the exam asks for them.</t>
  </si>
  <si>
    <t xml:space="preserve">1. GENERAL REQUIREMENTS FOR ANY DEDUCTION (O-P-C-S-N)</t>
  </si>
  <si>
    <t xml:space="preserve">Letter</t>
  </si>
  <si>
    <t xml:space="preserve">Simple meaning</t>
  </si>
  <si>
    <t xml:space="preserve">O</t>
  </si>
  <si>
    <t xml:space="preserve">Ordinary and necessary</t>
  </si>
  <si>
    <t xml:space="preserve">Normal and helpful for the business</t>
  </si>
  <si>
    <t xml:space="preserve">Paid or incurred within the taxable year</t>
  </si>
  <si>
    <t xml:space="preserve">Belongs to THIS year</t>
  </si>
  <si>
    <t xml:space="preserve">C</t>
  </si>
  <si>
    <t xml:space="preserve">Connected with the trade, business or practice of profession</t>
  </si>
  <si>
    <t xml:space="preserve">Business-related only</t>
  </si>
  <si>
    <t xml:space="preserve">Substantiated with official receipts or adequate records</t>
  </si>
  <si>
    <t xml:space="preserve">Keep proof</t>
  </si>
  <si>
    <t xml:space="preserve">Not against the law, morals, public policy or public order</t>
  </si>
  <si>
    <t xml:space="preserve">No illegal expenses</t>
  </si>
  <si>
    <t xml:space="preserve">TRAP: OLD rule (before EOPTA): a 6th requirement said that if the expense is subject to withholding tax, you must show proof of payment of the tax to the BIR. EOPTA REMOVED it. If the exam says 'under EOPTA', there are only 5.</t>
  </si>
  <si>
    <t xml:space="preserve">ADDED BY ME (not in your original; double-check): Individuals may choose between ITEMIZED deductions (this tab) and the OPTIONAL STANDARD DEDUCTION (40% of gross sales/receipts for individuals; 40% of gross income for corporations). You cannot use both.</t>
  </si>
  <si>
    <t xml:space="preserve">2. LOSSES</t>
  </si>
  <si>
    <t xml:space="preserve">Requisites for a deductible loss (6)</t>
  </si>
  <si>
    <t xml:space="preserve">(a) ACTUALLY SUSTAINED during the taxable year. (b) CONNECTED with the trade, business or profession. (c) Evidenced by a CLOSED and COMPLETED transaction. (d) NOT compensated by insurance or other indemnity. (e) NOT claimed as a deduction for ESTATE tax. (f) Notice of loss filed with the BIR within 45 DAYS from discovery of the loss.</t>
  </si>
  <si>
    <t xml:space="preserve">'Sustained, Business, Closed, Not insured, Not estate, 45 days.'</t>
  </si>
  <si>
    <t xml:space="preserve">3. NET OPERATING LOSS CARRY-OVER (NOLCO)</t>
  </si>
  <si>
    <t xml:space="preserve">A business loss this year can be deducted from income in later years.</t>
  </si>
  <si>
    <t xml:space="preserve">Loss today, shield tomorrow</t>
  </si>
  <si>
    <t xml:space="preserve">Requisites</t>
  </si>
  <si>
    <t xml:space="preserve">(a) When the loss was incurred, the taxpayer was NOT exempt from income tax. (b) No SUBSTANTIAL CHANGE in ownership: at least 75% in nominal value of the outstanding shares (and 75% of the paid-up capital) must be held by or on behalf of the SAME persons.</t>
  </si>
  <si>
    <t xml:space="preserve">75% stays the same</t>
  </si>
  <si>
    <t xml:space="preserve">Carry-over period</t>
  </si>
  <si>
    <t xml:space="preserve">3 consecutive years normally. For losses incurred in taxable years 2020 and 2021: 5 years (CREATE).</t>
  </si>
  <si>
    <t xml:space="preserve">3 years; 5 for 2020-2021</t>
  </si>
  <si>
    <t xml:space="preserve">Who can use it</t>
  </si>
  <si>
    <t xml:space="preserve">Individuals (incl. estates and trusts) in trade, business or profession; domestic corporations; resident foreign corporations; corporations subject to preferential rates (proprietary schools, hospitals, etc.).</t>
  </si>
  <si>
    <t xml:space="preserve">Not the NRFC or NRA-NETB</t>
  </si>
  <si>
    <t xml:space="preserve">4. CHARITABLE AND OTHER CONTRIBUTIONS</t>
  </si>
  <si>
    <t xml:space="preserve">Requisites (5)</t>
  </si>
  <si>
    <t xml:space="preserve">(a) Actually PAID. (b) Given to the organizations specified in the Code. (c) The net income of the donee does NOT benefit any private stockholder or individual. (d) The donee is a DOMESTIC institution. (e) The donee issues a Certificate of Donation (BIR Form 2322).</t>
  </si>
  <si>
    <t xml:space="preserve">'Paid, Specified, No private benefit, Domestic, Certificate'</t>
  </si>
  <si>
    <t xml:space="preserve">FULLY deductible (100%)</t>
  </si>
  <si>
    <t xml:space="preserve">Details</t>
  </si>
  <si>
    <t xml:space="preserve">1. Government</t>
  </si>
  <si>
    <t xml:space="preserve">Donations to the Philippine government, its agencies or political subdivisions, or any fully-owned government corporation, to be used exclusively for PRIORITY ACTIVITIES in: education, health, youth and sports development, human settlements, science and culture, and economic development.</t>
  </si>
  <si>
    <t xml:space="preserve">2. Foreign institutions</t>
  </si>
  <si>
    <t xml:space="preserve">Donations to a foreign institution or international organization in pursuance of agreements, treaties or special laws.</t>
  </si>
  <si>
    <t xml:space="preserve">3. Accredited NGOs</t>
  </si>
  <si>
    <t xml:space="preserve">Accredited domestic non-government organizations. Accrediting agencies: DSWD (charity/social welfare), DOST (research/science), PSC (sports), NCCA (culture), CHED (education). The NGO must be organized and operated exclusively for those purposes, with no private benefit; must use the donation not later than the 15th day of the 3rd month after the close of its taxable year; admin expenses not over 30% of actual expenses; trustees receive no remuneration; and on liquidation, assets go to another non-profit domestic corporation of similar purpose.</t>
  </si>
  <si>
    <t xml:space="preserve">4. Special laws (deductible in full)</t>
  </si>
  <si>
    <t xml:space="preserve">Integrated Bar of the Philippines; International Rice Research Institute; Development Academy of the Philippines; University of the Philippines and other state colleges; Cultural Center of the Philippines; Artesian Well Fund; Ramon Magsaysay Award Foundation; Task Force on Human Settlement; National Museum, Library and Archives; National Commission on Culture; Humanitarian Science Foundation; National Social Action Council.</t>
  </si>
  <si>
    <t xml:space="preserve">SUBJECT TO LIMIT</t>
  </si>
  <si>
    <t xml:space="preserve">Limit: 10% of taxable income (individuals); 5% (corporations)</t>
  </si>
  <si>
    <t xml:space="preserve">Computed on taxable income BEFORE the contribution.</t>
  </si>
  <si>
    <t xml:space="preserve">1. Government not for priority activities</t>
  </si>
  <si>
    <t xml:space="preserve">Donations to the Philippine government or political subdivisions exclusively for public purposes that are NOT priority activities.</t>
  </si>
  <si>
    <t xml:space="preserve">2. Non-accredited NGOs and others</t>
  </si>
  <si>
    <t xml:space="preserve">Donations to non-accredited NGOs, or to domestic corporations organized exclusively for religious, charitable, scientific, youth and sports, cultural, educational, rehabilitation of veterans, or social welfare purposes.</t>
  </si>
  <si>
    <t xml:space="preserve">HOOK: 'G-N-S' = Fully deductible: Government (priority), NGOs (accredited), Special laws. Everything else = limited to 10% (individual) / 5% (corporation).</t>
  </si>
  <si>
    <t xml:space="preserve">5. PENSION, RESEARCH AND DEVELOPMENT</t>
  </si>
  <si>
    <t xml:space="preserve">Pension</t>
  </si>
  <si>
    <t xml:space="preserve">(a) The employer has established a pension or retirement plan to pay reasonable pensions to employees. (b) The actuarial assumptions are sound and reasonable. (c) It is funded by the employer. (d) The fund assets are independent from, and not subject to the control or disposal of, the employer. (e) Contribution for CURRENT service cost is deductible in FULL. (f) Contribution for PAST service cost is amortized over 10 YEARS.</t>
  </si>
  <si>
    <t xml:space="preserve">Research and development</t>
  </si>
  <si>
    <t xml:space="preserve">(a) Paid or incurred during the taxable year. (b) Ordinary and necessary expenses connected with the trade, business or profession.</t>
  </si>
  <si>
    <t xml:space="preserve">6. TAXES</t>
  </si>
  <si>
    <t xml:space="preserve">NON-deductible taxes</t>
  </si>
  <si>
    <t xml:space="preserve">Deductible taxes (not exhaustive)</t>
  </si>
  <si>
    <t xml:space="preserve">Foreign income tax (only if NOT claimed as a credit), percentage tax, excise tax, documentary stamp tax, fringe benefits tax, local taxes, community tax, municipal tax.</t>
  </si>
  <si>
    <t xml:space="preserve">HOOK: Non-deductible = 'I Finally See Dad Eat Vegetables': Income, Final, Stock transaction, Donor's, Estate, VAT.</t>
  </si>
  <si>
    <t xml:space="preserve">7. INTEREST, BAD DEBTS, DEPRECIATION, EAR</t>
  </si>
  <si>
    <t xml:space="preserve">Interest</t>
  </si>
  <si>
    <t xml:space="preserve">(a) There must be indebtedness. (b) The interest was paid or incurred during the taxable year. (c) The indebtedness is that of the TAXPAYER. (d) It is connected with the taxpayer's trade, business or profession. (e) There is a LEGAL liability to pay interest. Rule: interest expense is reduced by 20% of the interest income that was subject to final tax (CREATE; before: 33%), except for MSMEs.</t>
  </si>
  <si>
    <t xml:space="preserve">Bad debts</t>
  </si>
  <si>
    <t xml:space="preserve">(a) An existing debt due to the taxpayer that is valid and legally demandable. (b) Connected with the business or profession. (c) NOT sustained in a transaction between RELATED parties. (d) Actually ascertained to be worthless and uncollectible by the end of the taxable year. (e) Actually CHARGED OFF in the books by the end of the taxable year.</t>
  </si>
  <si>
    <t xml:space="preserve">Depreciation / amortization / depletion</t>
  </si>
  <si>
    <t xml:space="preserve">(a) The allowance is reasonable. (b) The property is used in the trade, business or profession. (c) The allowance is charged off within the taxable year. (d) A schedule of the allowance is attached to the return.</t>
  </si>
  <si>
    <t xml:space="preserve">Entertainment, amusement and recreation (EAR)</t>
  </si>
  <si>
    <t xml:space="preserve">(a) Paid or incurred during the year. (b) Directly connected to the development, management and operation of the trade, business or profession. (c) Not contrary to law, morals, good customs, public policy or public order. (d) Duly substantiated.</t>
  </si>
  <si>
    <t xml:space="preserve">EAR ceilings (added)</t>
  </si>
  <si>
    <t xml:space="preserve">Sellers of goods: 0.5% of net sales. Sellers of services: 1% of net revenue. Professionals: 1% of gross receipts (ceiling on how much EAR you can deduct).</t>
  </si>
  <si>
    <t xml:space="preserve">8. SENIOR CITIZEN AND PWD DISCOUNTS; LABOR TRAINING; OTHER EXPENSES</t>
  </si>
  <si>
    <t xml:space="preserve">Discount to senior citizens and PWDs</t>
  </si>
  <si>
    <t xml:space="preserve">The discount given is a DEDUCTION from gross income (not a tax credit).</t>
  </si>
  <si>
    <t xml:space="preserve">Labor training expense (ADDITIONAL deduction)</t>
  </si>
  <si>
    <t xml:space="preserve">One-half (1/2 = 50%) of the value of labor training expenses incurred for skills development of enterprise-based trainees enrolled in public senior high schools, public higher educational institutions or public technical-vocational institutions, covered by an apprenticeship agreement under the Labor Code (PD 442). The enterprise must have DepEd, TESDA or CHED certification. The additional deduction must not exceed 10% of the direct labor wage.</t>
  </si>
  <si>
    <t xml:space="preserve">Other expenses</t>
  </si>
  <si>
    <t xml:space="preserve">Advertising, utilities, rent, salaries, insurance, repairs and maintenance, supplies, miscellaneous.</t>
  </si>
  <si>
    <t xml:space="preserve">HOOK: Labor training = 'Half and Ten': an EXTRA deduction of half (50%) the expense, capped at 10% of direct labor wage. The five conditions are: limit 10%, enterprise-based trainees, public schools, apprenticeship agreement, authority certified.</t>
  </si>
  <si>
    <t xml:space="preserve">9. NON-DEDUCTIBLE EXPENSES</t>
  </si>
  <si>
    <t xml:space="preserve">•  Personal, living or family expenses.</t>
  </si>
  <si>
    <t xml:space="preserve">•  Amounts paid for NEW buildings or permanent improvements or betterments that increase the value of property or estate (capitalize them; depreciate instead).</t>
  </si>
  <si>
    <t xml:space="preserve">•  Amounts spent to restore property or make good its exhaustion, for which an allowance for depreciation has been made.</t>
  </si>
  <si>
    <t xml:space="preserve">•  Premiums on a life insurance policy on an officer or employee (or anyone financially interested in the business) when the TAXPAYER is directly or indirectly a beneficiary.</t>
  </si>
  <si>
    <t xml:space="preserve">•  Interest, losses and bad debts between RELATED taxpayers: members of the same family; an individual and a corporation more than 50% owned by him; two corporations more than 50% owned by the same individual; a grantor and a fiduciary of a trust; fiduciaries of two trusts with the same grantor; a fiduciary and a beneficiary of a trust (distributions in liquidation are excepted).</t>
  </si>
  <si>
    <t xml:space="preserve">•  Bribes, kickbacks and other similar payments.</t>
  </si>
  <si>
    <t xml:space="preserve">1.  Five general requisites: O-P-C-S-N (EOPTA removed the old 6th).</t>
  </si>
  <si>
    <t xml:space="preserve">2.  NOLCO: 3 years (5 years for 2020-2021 losses), 75% ownership must stay the same.</t>
  </si>
  <si>
    <t xml:space="preserve">3.  Charity: fully deductible = Government priority, accredited NGOs, special laws. Otherwise 10% (individuals) / 5% (corporations).</t>
  </si>
  <si>
    <t xml:space="preserve">4.  Non-deductible taxes: income, final, stock transaction, donor's, estate, VAT.</t>
  </si>
  <si>
    <t xml:space="preserve">5.  Bad debts need to be CHARGED OFF; related-party transactions are not deductible.</t>
  </si>
  <si>
    <t xml:space="preserve">CAPITAL ASSETS</t>
  </si>
  <si>
    <t xml:space="preserve">THE BIG IDEA (read this first): A capital asset is anything you hold that is NOT inventory, NOT for sale to customers, NOT depreciable business property and NOT real property used in business. Basically: personal stuff and investments. Capital gains on it are taxed differently.</t>
  </si>
  <si>
    <t xml:space="preserve">1. ORDINARY ASSETS vs CAPITAL ASSETS</t>
  </si>
  <si>
    <t xml:space="preserve">ORDINARY assets (4 types)</t>
  </si>
  <si>
    <t xml:space="preserve">(a) Stock in trade or inventory</t>
  </si>
  <si>
    <t xml:space="preserve">Raw materials, work in process, finished goods</t>
  </si>
  <si>
    <t xml:space="preserve">(b) Property held primarily for sale to customers in the ordinary course of business</t>
  </si>
  <si>
    <t xml:space="preserve">Land for sale by a real estate dealer or developer</t>
  </si>
  <si>
    <t xml:space="preserve">(c) Property used in business that is subject to depreciation</t>
  </si>
  <si>
    <t xml:space="preserve">Office equipment, machinery</t>
  </si>
  <si>
    <t xml:space="preserve">(d) Real property used in trade or business</t>
  </si>
  <si>
    <t xml:space="preserve">Building used in business, land used in business</t>
  </si>
  <si>
    <t xml:space="preserve">CAPITAL assets (everything else)</t>
  </si>
  <si>
    <t xml:space="preserve">Not included in the 4 ordinary categories</t>
  </si>
  <si>
    <t xml:space="preserve">Car for personal use, jewelry for personal use, personal art collection</t>
  </si>
  <si>
    <t xml:space="preserve">HOOK: 'If you SELL it for a living or USE it in your business, it is ORDINARY. If it is PERSONAL or an INVESTMENT, it is CAPITAL.'</t>
  </si>
  <si>
    <t xml:space="preserve">2. SALE OF REAL PROPERTY (capital asset)</t>
  </si>
  <si>
    <t xml:space="preserve">•  6% CGT on the HIGHER of selling price or FMV (zonal value).</t>
  </si>
  <si>
    <t xml:space="preserve">•  The property must be located in the Philippines.</t>
  </si>
  <si>
    <t xml:space="preserve">•  Taxed whether you have a GAIN OR A LOSS (because it is on gross, not net).</t>
  </si>
  <si>
    <t xml:space="preserve">•  Withheld at source by the BUYER.</t>
  </si>
  <si>
    <t xml:space="preserve">•  Computed PER TRANSACTION.</t>
  </si>
  <si>
    <t xml:space="preserve">•  NOT part of gross income (it is a final tax).</t>
  </si>
  <si>
    <t xml:space="preserve">3. PRINCIPAL RESIDENCE EXEMPTION FROM CGT (Sec. 24D) - 7 conditions</t>
  </si>
  <si>
    <t xml:space="preserve">The asset sold was a PRINCIPAL RESIDENCE.</t>
  </si>
  <si>
    <t xml:space="preserve">The seller is a citizen of the Philippines or a resident alien (RC, NRC, RA).</t>
  </si>
  <si>
    <t xml:space="preserve">Not NRA</t>
  </si>
  <si>
    <t xml:space="preserve">The proceeds are INVESTED in acquiring a NEW principal residence.</t>
  </si>
  <si>
    <t xml:space="preserve">Notice to the BIR within 30 DAYS from the date of sale.</t>
  </si>
  <si>
    <t xml:space="preserve">30</t>
  </si>
  <si>
    <t xml:space="preserve">The new residence must be acquired within 18 MONTHS from the date of sale.</t>
  </si>
  <si>
    <t xml:space="preserve">18</t>
  </si>
  <si>
    <t xml:space="preserve">A cash deposit with an accredited bank under an ESCROW agreement equal to the CGT, answerable if the exemption conditions are not met.</t>
  </si>
  <si>
    <t xml:space="preserve">Escrow</t>
  </si>
  <si>
    <t xml:space="preserve">The exemption can be used only ONCE every 10 YEARS.</t>
  </si>
  <si>
    <t xml:space="preserve">HOOK: '30-18-10' + Escrow. Thirty days to tell, eighteen months to buy, ten years until you can use it again.</t>
  </si>
  <si>
    <t xml:space="preserve">4. SALE OF UNLISTED SHARES</t>
  </si>
  <si>
    <t xml:space="preserve">•  15% on NET capital gains.</t>
  </si>
  <si>
    <t xml:space="preserve">•  The shares must NOT be traded or listed.</t>
  </si>
  <si>
    <t xml:space="preserve">•  The sale must result in a GAIN (a net loss means no CGT).</t>
  </si>
  <si>
    <t xml:space="preserve">•  Not part of gross income.</t>
  </si>
  <si>
    <t xml:space="preserve">•  Year-end consolidation (you net all gains and losses for the year).</t>
  </si>
  <si>
    <t xml:space="preserve">5. RULES ON CAPITAL GAINS AND LOSSES (ordinary assets and listed shares are NOT in this)</t>
  </si>
  <si>
    <t xml:space="preserve">Individual</t>
  </si>
  <si>
    <t xml:space="preserve">Holding period</t>
  </si>
  <si>
    <t xml:space="preserve">Always 100% counted</t>
  </si>
  <si>
    <t xml:space="preserve">Held 12 months or LESS (short-term): 100% counted.  Held MORE than 12 months (long-term): 50% counted.</t>
  </si>
  <si>
    <t xml:space="preserve">Deductible capital losses</t>
  </si>
  <si>
    <t xml:space="preserve">Only up to the extent of capital gains</t>
  </si>
  <si>
    <t xml:space="preserve">Net capital loss carry-over</t>
  </si>
  <si>
    <t xml:space="preserve">NOT available</t>
  </si>
  <si>
    <t xml:space="preserve">Available. Limit 1: net taxable income in Year 1. Limit 2: net capital gains in Year 2.</t>
  </si>
  <si>
    <t xml:space="preserve">HOOK: 'Corporations get no discount and no carry-over. Individuals get both.'</t>
  </si>
  <si>
    <t xml:space="preserve">6. TRANSACTIONS DEEMED AN 'EXCHANGE' (7)</t>
  </si>
  <si>
    <t xml:space="preserve">•  Retirement of bonds, debentures, notes or certificates and other evidence of indebtedness.</t>
  </si>
  <si>
    <t xml:space="preserve">•  Short sale of properties.</t>
  </si>
  <si>
    <t xml:space="preserve">•  Failure to exercise a privilege or option to buy or sell property that is a capital asset.</t>
  </si>
  <si>
    <t xml:space="preserve">•  A security becoming worthless.</t>
  </si>
  <si>
    <t xml:space="preserve">•  Receipt of a liquidating dividend.</t>
  </si>
  <si>
    <t xml:space="preserve">•  Redemption of shares for cancellation or retirement.</t>
  </si>
  <si>
    <t xml:space="preserve">•  Voluntary buy-back of shares.</t>
  </si>
  <si>
    <t xml:space="preserve">HOOK: 'R-S-F-S-R-R-V': Retirement of bonds, Short sale, Failure to exercise option, Security worthless, Receipt of liquidating dividend, Redemption of shares, Voluntary buy-back. (Say: 'Really Silly Fish Swim Rapidly, Racing Vigorously.')</t>
  </si>
  <si>
    <t xml:space="preserve">7. BASIS FOR DETERMINING GAIN OR LOSS</t>
  </si>
  <si>
    <t xml:space="preserve">How you got the property</t>
  </si>
  <si>
    <t xml:space="preserve">Your basis (your 'cost' for gain/loss)</t>
  </si>
  <si>
    <t xml:space="preserve">1. PURCHASE</t>
  </si>
  <si>
    <t xml:space="preserve">Cost</t>
  </si>
  <si>
    <t xml:space="preserve">What you paid</t>
  </si>
  <si>
    <t xml:space="preserve">2. INHERITANCE</t>
  </si>
  <si>
    <t xml:space="preserve">Fair market value at the time of inheritance</t>
  </si>
  <si>
    <t xml:space="preserve">Value at death</t>
  </si>
  <si>
    <t xml:space="preserve">3. DONATION</t>
  </si>
  <si>
    <t xml:space="preserve">Same as it would be in the hands of the donor or the last preceding owner who did not get it by gift. EXCEPTION: for determining a LOSS, use the FMV at the time of donation if it is lower.</t>
  </si>
  <si>
    <t xml:space="preserve">Donor's basis, but FMV for a loss if lower</t>
  </si>
  <si>
    <t xml:space="preserve">4. Acquired for less than full and adequate consideration</t>
  </si>
  <si>
    <t xml:space="preserve">The amount paid by the transferee</t>
  </si>
  <si>
    <t xml:space="preserve">INSTALLMENT REPORTING</t>
  </si>
  <si>
    <t xml:space="preserve">THE BIG IDEA (read this first): Instead of reporting ALL the profit from a sale in the year of sale, you spread it out over the years as you actually collect the money. The catch: the first-year payments must be small (25% or less of the selling price).</t>
  </si>
  <si>
    <t xml:space="preserve">1. WHEN ARE YOU ALLOWED TO USE IT?</t>
  </si>
  <si>
    <t xml:space="preserve">Who</t>
  </si>
  <si>
    <t xml:space="preserve">(a) A dealer in personal property who REGULARLY sells on installments</t>
  </si>
  <si>
    <t xml:space="preserve">No payment limit</t>
  </si>
  <si>
    <t xml:space="preserve">(b) A person who makes a CASUAL sale of personal property (not inventory)</t>
  </si>
  <si>
    <t xml:space="preserve">Selling price over P1,000 AND initial payments not exceeding 25% of the selling price</t>
  </si>
  <si>
    <t xml:space="preserve">(c) A person who sells REAL property</t>
  </si>
  <si>
    <t xml:space="preserve">Initial payments not exceeding 25% of the selling price</t>
  </si>
  <si>
    <t xml:space="preserve">HOOK: 'One-quarter rule': initial payments (IP) / selling price (SP) must be 25% or LESS.</t>
  </si>
  <si>
    <t xml:space="preserve">2. THE FORMULAS</t>
  </si>
  <si>
    <t xml:space="preserve">No mortgage</t>
  </si>
  <si>
    <t xml:space="preserve">Mortgage, but NOT more than cost</t>
  </si>
  <si>
    <t xml:space="preserve">Mortgage MORE than cost</t>
  </si>
  <si>
    <t xml:space="preserve">Downpayment (DP) + payments received in the year of sale</t>
  </si>
  <si>
    <t xml:space="preserve">DP + payments received in the year of sale</t>
  </si>
  <si>
    <t xml:space="preserve">DP + payments received in the year of sale + EXCESS of mortgage over cost</t>
  </si>
  <si>
    <t xml:space="preserve">25% test</t>
  </si>
  <si>
    <t xml:space="preserve">IP / SP must be 25% or less</t>
  </si>
  <si>
    <t xml:space="preserve">Contract price (CP)</t>
  </si>
  <si>
    <t xml:space="preserve">Selling price</t>
  </si>
  <si>
    <t xml:space="preserve">Selling price MINUS mortgage assumed by the buyer</t>
  </si>
  <si>
    <t xml:space="preserve">Selling price MINUS mortgage assumed by buyer PLUS excess of mortgage over cost</t>
  </si>
  <si>
    <t xml:space="preserve">Income realized in a year</t>
  </si>
  <si>
    <t xml:space="preserve">(Gross profit / Contract price) x collections in that year</t>
  </si>
  <si>
    <t xml:space="preserve">(Gross profit / Contract price) x collections</t>
  </si>
  <si>
    <t xml:space="preserve">(Gross profit / Contract price) x collections (collections include the excess of mortgage over cost in the year of sale)</t>
  </si>
  <si>
    <t xml:space="preserve">IP (initial payments) = payments by the BUYER to the seller in ANY form (cash, property, cancellation of debt, etc.) received during the year of sale. It is NOT the same as the downpayment (DP).     SP = selling price.     GP = gross profit = SP - cost.     CP = contract price.</t>
  </si>
  <si>
    <t xml:space="preserve">ADDED BY ME (not in your original; double-check): WORKED EXAMPLE 1 (no mortgage): Land cost P600,000, selling price P1,000,000. Downpayment P200,000 in the year of sale; balance in 4 yearly installments of P200,000. IP/SP = 200,000/1,000,000 = 20% (OK, 25% or less). GP = 400,000. GP rate = 400,000/1,000,000 = 40%. Income realized in Year 1 = 40% x 200,000 = P80,000. Each later year: 40% x 200,000 = P80,000.</t>
  </si>
  <si>
    <t xml:space="preserve">ADDED BY ME (not in your original; double-check): WORKED EXAMPLE 2 (mortgage over cost): Cost P600,000, selling price P1,000,000, mortgage assumed by buyer P700,000, downpayment P100,000. Excess of mortgage over cost = 700,000 - 600,000 = 100,000. CP = 1,000,000 - 700,000 + 100,000 = 400,000. IP = 100,000 + 100,000 = 200,000; IP/SP = 20% (OK). GP = 400,000. GP rate = 400,000/400,000 = 100%. Income realized in Year 1 = 100% x 200,000 = P200,000.</t>
  </si>
  <si>
    <t xml:space="preserve">FRINGE BENEFITS TAX (FBT)</t>
  </si>
  <si>
    <t xml:space="preserve">THE BIG IDEA (read this first): A fringe benefit is a perk your employer gives you (house, car, expense account) that is NOT salary. The EMPLOYER pays the tax (35%), because the benefit is 'net' - so you must first GROSS IT UP to see what it would have been before tax.</t>
  </si>
  <si>
    <t xml:space="preserve">1. THE RATE AND THE GROSS-UP</t>
  </si>
  <si>
    <t xml:space="preserve">35% of the GROSSED-UP monetary value</t>
  </si>
  <si>
    <t xml:space="preserve">Paid by the employer</t>
  </si>
  <si>
    <t xml:space="preserve">Gross-up divisor</t>
  </si>
  <si>
    <t xml:space="preserve">65% (= 100% - 35%)</t>
  </si>
  <si>
    <t xml:space="preserve">Grossed-up value = Monetary value / 0.65</t>
  </si>
  <si>
    <t xml:space="preserve">Formula</t>
  </si>
  <si>
    <t xml:space="preserve">FBT = (Monetary value / 0.65) x 35%</t>
  </si>
  <si>
    <t xml:space="preserve">Same as Monetary value x 35/65 = Monetary value x 0.5385</t>
  </si>
  <si>
    <t xml:space="preserve">NRA-NETB employee</t>
  </si>
  <si>
    <t xml:space="preserve">25% rate, so gross-up divisor = 75%</t>
  </si>
  <si>
    <t xml:space="preserve">FBT = (MV / 0.75) x 25%</t>
  </si>
  <si>
    <t xml:space="preserve">ADDED BY ME (not in your original; double-check): FBT applies only to MANAGERIAL and SUPERVISORY employees. Benefits to RANK-AND-FILE employees are not subject to FBT (they are part of compensation, subject to the regular withholding tax unless de minimis). Check the 'monetary value' column to see 50% (just using) or 100% (ownership passes).</t>
  </si>
  <si>
    <t xml:space="preserve">2. EXAMPLES OF FRINGE BENEFITS (10)</t>
  </si>
  <si>
    <t xml:space="preserve">•  Housing</t>
  </si>
  <si>
    <t xml:space="preserve">•  Expense account</t>
  </si>
  <si>
    <t xml:space="preserve">•  Vehicle of any kind</t>
  </si>
  <si>
    <t xml:space="preserve">•  Housing personnel (maid, driver, others)</t>
  </si>
  <si>
    <t xml:space="preserve">•  Interest on a loan at LESS than market rate (to the extent of the difference between the market rate and the actual rate granted)</t>
  </si>
  <si>
    <t xml:space="preserve">•  Membership fees, dues and other expenses in social and athletic clubs</t>
  </si>
  <si>
    <t xml:space="preserve">•  Expenses for foreign travel</t>
  </si>
  <si>
    <t xml:space="preserve">•  Holiday and vacation expenses</t>
  </si>
  <si>
    <t xml:space="preserve">•  Educational assistance to the employee or his dependents</t>
  </si>
  <si>
    <t xml:space="preserve">•  Life or health insurance and other non-life insurance premiums in excess of what the law allows</t>
  </si>
  <si>
    <t xml:space="preserve">HOOK: Story: 'A rich manager gets a House, an Expense account, a Vehicle, a maid, a cheap Loan, a Club, a Foreign trip, a Holiday, free Education for the kids, and Insurance.' Ten perks = ten items.</t>
  </si>
  <si>
    <t xml:space="preserve">3. HOW TO COMPUTE THE MONETARY VALUE (MV)</t>
  </si>
  <si>
    <t xml:space="preserve">Benefit</t>
  </si>
  <si>
    <t xml:space="preserve">Monetary value</t>
  </si>
  <si>
    <t xml:space="preserve">Ownership transferred?</t>
  </si>
  <si>
    <t xml:space="preserve">HOUSING: employer LEASES a residence for the employee</t>
  </si>
  <si>
    <t xml:space="preserve">Rental paid x 50%</t>
  </si>
  <si>
    <t xml:space="preserve">No</t>
  </si>
  <si>
    <t xml:space="preserve">HOUSING: employer OWNS a residence for the employee</t>
  </si>
  <si>
    <t xml:space="preserve">Higher of FMV or zonal value x 5% x 50%</t>
  </si>
  <si>
    <t xml:space="preserve">No (useful life 20 years = 5%)</t>
  </si>
  <si>
    <t xml:space="preserve">HOUSING: employer buys a residence on INSTALLMENT for the employee</t>
  </si>
  <si>
    <t xml:space="preserve">Acquisition cost (excluding interest) x 5% x 50%</t>
  </si>
  <si>
    <t xml:space="preserve">HOUSING: employer buys a residence and TRANSFERS ownership to the employee</t>
  </si>
  <si>
    <t xml:space="preserve">Higher of acquisition cost or zonal value (100%)</t>
  </si>
  <si>
    <t xml:space="preserve">Yes</t>
  </si>
  <si>
    <t xml:space="preserve">HOUSING: transfers ownership to employee for a LESSER amount</t>
  </si>
  <si>
    <t xml:space="preserve">Higher of FMV or zonal value LESS payment by the employee (100%)</t>
  </si>
  <si>
    <t xml:space="preserve">VEHICLE: employer owns and maintains a FLEET for business and employees</t>
  </si>
  <si>
    <t xml:space="preserve">Acquisition cost of vehicles NOT normally used for business / 5 years x 50%</t>
  </si>
  <si>
    <t xml:space="preserve">No (useful life 5 years)</t>
  </si>
  <si>
    <t xml:space="preserve">VEHICLE: employer LEASES and maintains a fleet</t>
  </si>
  <si>
    <t xml:space="preserve">Rental payments for vehicles not normally used for business x 50%</t>
  </si>
  <si>
    <t xml:space="preserve">VEHICLE: employer buys the car in the EMPLOYEE'S name</t>
  </si>
  <si>
    <t xml:space="preserve">Acquisition cost (100%)</t>
  </si>
  <si>
    <t xml:space="preserve">VEHICLE: employer gives CASH for the employee to buy a car</t>
  </si>
  <si>
    <t xml:space="preserve">Cash received (100%)</t>
  </si>
  <si>
    <t xml:space="preserve">VEHICLE: employer pays PART of the price of the car in the employee's name</t>
  </si>
  <si>
    <t xml:space="preserve">Amount shouldered by the employer (100%)</t>
  </si>
  <si>
    <t xml:space="preserve">VEHICLE: employer buys the car on INSTALLMENT in the employee's name</t>
  </si>
  <si>
    <t xml:space="preserve">Acquisition cost excluding interest (100%)</t>
  </si>
  <si>
    <t xml:space="preserve">YACHT: owned and maintained or leased by the employer</t>
  </si>
  <si>
    <t xml:space="preserve">Depreciation at a useful life of 20 years</t>
  </si>
  <si>
    <t xml:space="preserve">No (20 years = 5%)</t>
  </si>
  <si>
    <t xml:space="preserve">OTHERS: expense account, household personnel, loan below market rate (12% benchmark rate), club memberships, foreign travel, holiday and vacation, educational assistance, insurance in excess of what law allows</t>
  </si>
  <si>
    <t xml:space="preserve">Amount paid or given by the employer (100%)</t>
  </si>
  <si>
    <t xml:space="preserve">Always 100%</t>
  </si>
  <si>
    <t xml:space="preserve">HOOK: 'USE it = 50%. OWN it = 100%.' Just letting him use a house or car owned/leased by the company: 50% of the value spread over its life. When ownership moves to the employee, or for 'others': 100%.</t>
  </si>
  <si>
    <t xml:space="preserve">4. NOT SUBJECT TO FBT (EXEMPT)</t>
  </si>
  <si>
    <t xml:space="preserve">Exempt when...</t>
  </si>
  <si>
    <t xml:space="preserve">Housing</t>
  </si>
  <si>
    <t xml:space="preserve">(1) Housing of AFP officials (Army, Navy, Air Force). (2) Housing unit inside or adjacent to the business/factory premises (within 50 meters from the perimeter). (3) TEMPORARY housing for an employee who stays 3 months or less.</t>
  </si>
  <si>
    <t xml:space="preserve">Vehicle</t>
  </si>
  <si>
    <t xml:space="preserve">Use of aircraft and helicopters owned and maintained by the employer (treated as a business expense).</t>
  </si>
  <si>
    <t xml:space="preserve">Expense account</t>
  </si>
  <si>
    <t xml:space="preserve">Receipted in the name of the employer and NOT personal expense: (a) expenses incurred by employees but paid by employer, or (b) reimbursed by employer.</t>
  </si>
  <si>
    <t xml:space="preserve">Foreign travel</t>
  </si>
  <si>
    <t xml:space="preserve">(1) Business meetings or conventions: reasonable expenses averaging $300 per day (except hotel lodging cost), with documents. (2) Cost of ECONOMY and BUSINESS class tickets. (3) 70% of the cost of FIRST CLASS tickets.</t>
  </si>
  <si>
    <t xml:space="preserve">Educational assistance</t>
  </si>
  <si>
    <t xml:space="preserve">(a) Study is directly connected to the employer's business AND there is a written contract that the employee will stay for a period; OR (b) given to the employee's dependents through a COMPETITIVE scholarship program.</t>
  </si>
  <si>
    <t xml:space="preserve">Insurance premiums</t>
  </si>
  <si>
    <t xml:space="preserve">Contributions under SSS law, GSIS law and similar laws; premiums for group insurance of employees.</t>
  </si>
  <si>
    <t xml:space="preserve">Other exemptions</t>
  </si>
  <si>
    <t xml:space="preserve">Benefits given to RANK-AND-FILE employees; DE MINIMIS benefits within the limits; benefits authorized and exempted by the Tax Code or special laws; benefits REQUIRED by the nature of, or necessary to, the trade, business or profession of the employer; benefits given for the CONVENIENCE or ADVANTAGE of the employer; employer contributions to retirement, insurance and hospitalization plans for the employee.</t>
  </si>
  <si>
    <t xml:space="preserve">5. DE MINIMIS BENEFITS - NEW CEILINGS under RR No. 29-2025 (the old amounts are shown so you can see what changed)</t>
  </si>
  <si>
    <t xml:space="preserve">De minimis item</t>
  </si>
  <si>
    <t xml:space="preserve">NEW ceiling</t>
  </si>
  <si>
    <t xml:space="preserve">OLD ceiling</t>
  </si>
  <si>
    <t xml:space="preserve">Monetized unused vacation leave credits of PRIVATE employees</t>
  </si>
  <si>
    <t xml:space="preserve">12 days per year</t>
  </si>
  <si>
    <t xml:space="preserve">10 days</t>
  </si>
  <si>
    <t xml:space="preserve">Monetized value of vacation and sick leave credits of GOVERNMENT officials and employees</t>
  </si>
  <si>
    <t xml:space="preserve">No limit (not subject)</t>
  </si>
  <si>
    <t xml:space="preserve">No limit</t>
  </si>
  <si>
    <t xml:space="preserve">Medical cash allowance to dependents of employees</t>
  </si>
  <si>
    <t xml:space="preserve">P2,000 per semester</t>
  </si>
  <si>
    <t xml:space="preserve">P1,500 per semester or P250 per month</t>
  </si>
  <si>
    <t xml:space="preserve">Rice subsidy</t>
  </si>
  <si>
    <t xml:space="preserve">P2,500 per month (or one 50-kg sack of rice)</t>
  </si>
  <si>
    <t xml:space="preserve">P2,000 per month</t>
  </si>
  <si>
    <t xml:space="preserve">Uniform and clothing allowance</t>
  </si>
  <si>
    <t xml:space="preserve">P8,000 per year</t>
  </si>
  <si>
    <t xml:space="preserve">P6,000 per year</t>
  </si>
  <si>
    <t xml:space="preserve">Actual yearly medical benefits</t>
  </si>
  <si>
    <t xml:space="preserve">P12,000 per year</t>
  </si>
  <si>
    <t xml:space="preserve">P10,000 per year</t>
  </si>
  <si>
    <t xml:space="preserve">Laundry allowance</t>
  </si>
  <si>
    <t xml:space="preserve">P400 per month</t>
  </si>
  <si>
    <t xml:space="preserve">P300 per month</t>
  </si>
  <si>
    <t xml:space="preserve">Employees' achievement awards (annual monetary value)</t>
  </si>
  <si>
    <t xml:space="preserve">Gifts during Christmas and major anniversaries</t>
  </si>
  <si>
    <t xml:space="preserve">P5,000 per year</t>
  </si>
  <si>
    <t xml:space="preserve">Daily meal allowance for overtime and night/graveyard shift</t>
  </si>
  <si>
    <t xml:space="preserve">Not exceeding 30% of the basic minimum wage</t>
  </si>
  <si>
    <t xml:space="preserve">25% of the basic minimum wage</t>
  </si>
  <si>
    <t xml:space="preserve">Benefits under a CBA and productivity incentive schemes (two items combined)</t>
  </si>
  <si>
    <t xml:space="preserve">HOOK: NEW de minimis in order: 12 days, 2K per semester, 2.5K per month, 8K, 12K, 400, 12K, 6K, 30%, 12K. (Leave, medical dependents, rice, uniform, medical, laundry, awards, gifts, meals, CBA.) Almost everything went UP.</t>
  </si>
  <si>
    <t xml:space="preserve">ADDED BY ME (not in your original; double-check): The P90,000 exclusion for 13th month pay and other benefits (see the Gross Income tab) is a separate ceiling that applies on top of de minimis items.</t>
  </si>
  <si>
    <t xml:space="preserve">1.  FBT = 35% of the grossed-up MV (MV divided by 65%).</t>
  </si>
  <si>
    <t xml:space="preserve">2.  USE (house/car/yacht) = 50% of cost/rent spread over useful life. OWN (ownership transferred) = 100%.</t>
  </si>
  <si>
    <t xml:space="preserve">3.  FBT applies to managers/supervisors, not rank-and-file.</t>
  </si>
  <si>
    <t xml:space="preserve">4.  Foreign travel exempt: economy and business class; 70% of first class; $300 a day for meetings.</t>
  </si>
  <si>
    <t xml:space="preserve">5.  De minimis was updated by RR 29-2025; learn the NEW ceilings.</t>
  </si>
  <si>
    <t xml:space="preserve">DONOR'S TAX</t>
  </si>
  <si>
    <t xml:space="preserve">THE BIG IDEA (read this first): A donation is a gift made while the giver is ALIVE. The donor (the giver) pays 6% on the total gifts in a calendar year above P250,000. Think: 'a gift is a transfer of wealth, so the government taxes the transfer.'</t>
  </si>
  <si>
    <t xml:space="preserve">1. THE RATE AND THE RETURN</t>
  </si>
  <si>
    <t xml:space="preserve">6% on TOTAL gifts in the calendar year in excess of P250,000 (the exempt amount).</t>
  </si>
  <si>
    <t xml:space="preserve">Return</t>
  </si>
  <si>
    <t xml:space="preserve">BIR Form 1800, filed within 30 DAYS after the gift is made.</t>
  </si>
  <si>
    <t xml:space="preserve">Who pays</t>
  </si>
  <si>
    <t xml:space="preserve">The DONOR (the giver).</t>
  </si>
  <si>
    <t xml:space="preserve">2. REQUISITES OF A TAXABLE DONATION (4)</t>
  </si>
  <si>
    <t xml:space="preserve">Requisite</t>
  </si>
  <si>
    <t xml:space="preserve">Capacity of the donor to transfer property</t>
  </si>
  <si>
    <t xml:space="preserve">Capacity</t>
  </si>
  <si>
    <t xml:space="preserve">Donative intent (the donor wants to give)</t>
  </si>
  <si>
    <t xml:space="preserve">Intent</t>
  </si>
  <si>
    <t xml:space="preserve">Delivery of the gift</t>
  </si>
  <si>
    <t xml:space="preserve">Delivery</t>
  </si>
  <si>
    <t xml:space="preserve">Acceptance by the donee</t>
  </si>
  <si>
    <t xml:space="preserve">Acceptance</t>
  </si>
  <si>
    <t xml:space="preserve">HOOK: 'C-I-D-A': Capacity, Intent, Delivery, Acceptance.</t>
  </si>
  <si>
    <t xml:space="preserve">Property</t>
  </si>
  <si>
    <t xml:space="preserve">Amount</t>
  </si>
  <si>
    <t xml:space="preserve">Form required</t>
  </si>
  <si>
    <t xml:space="preserve">Movable (personal)</t>
  </si>
  <si>
    <t xml:space="preserve">P5,000 or less</t>
  </si>
  <si>
    <t xml:space="preserve">Oral OR writing</t>
  </si>
  <si>
    <t xml:space="preserve">More than P5,000</t>
  </si>
  <si>
    <t xml:space="preserve">Writing</t>
  </si>
  <si>
    <t xml:space="preserve">Immovable (real)</t>
  </si>
  <si>
    <t xml:space="preserve">Any amount</t>
  </si>
  <si>
    <t xml:space="preserve">Public document</t>
  </si>
  <si>
    <t xml:space="preserve">3. WHAT IS A GROSS GIFT? (6)</t>
  </si>
  <si>
    <t xml:space="preserve">•  Direct gift (donor to donee).</t>
  </si>
  <si>
    <t xml:space="preserve">•  Gift through the creation of an IRREVOCABLE trust.</t>
  </si>
  <si>
    <t xml:space="preserve">•  Condonation (forgiveness) of a debt.</t>
  </si>
  <si>
    <t xml:space="preserve">•  Transfer for insufficient consideration of any property OTHER THAN real property subject to CGT (that case is not a gift).</t>
  </si>
  <si>
    <t xml:space="preserve">•  Specific renunciation of an inheritance.</t>
  </si>
  <si>
    <t xml:space="preserve">•  Renunciation by the surviving spouse of his/her share in the conjugal partnership or absolute community after the marriage ended, in favor of the heirs of the deceased spouse or others.</t>
  </si>
  <si>
    <t xml:space="preserve">4. EXEMPT GIFTS</t>
  </si>
  <si>
    <t xml:space="preserve">Exempt under</t>
  </si>
  <si>
    <t xml:space="preserve">The Tax Code</t>
  </si>
  <si>
    <t xml:space="preserve">(a) Gifts to or for the use of the National Government, any entity created by its agencies that is not conducted for profit, or any political subdivision. (b) Gifts in favor of an educational, charitable, religious, cultural or social welfare corporation, institution, accredited NGO, trust, philanthropic organization or research institution, PROVIDED that no more than 30% of the gifts is used for administration.</t>
  </si>
  <si>
    <t xml:space="preserve">Special laws</t>
  </si>
  <si>
    <t xml:space="preserve">National Historical Institute archives; Development Academy of the Philippines; Integrated Bar of the Philippines; International Rice Research Institute; Intramuros Administration; Museum of Philippine Costumes; National Library; National Museum; National Commission for Culture and the Arts; Philippine Red Cross; Philippine Normal University; Ramon Magsaysay Foundation; University of the Philippines.</t>
  </si>
  <si>
    <t xml:space="preserve">Political contributions (Omnibus Election Code and RA 7166)</t>
  </si>
  <si>
    <t xml:space="preserve">NOT subject to donor's tax if (1) for campaign purposes AND (2) reported to COMELEC. If not reported, the donor owes donor's tax.</t>
  </si>
  <si>
    <t xml:space="preserve">TRAP: The 30% administration limit appears in both donor's tax AND estate tax exempt transfers AND deductible NGO donations. 30% always.   Exempt: reported political contributions. NOT exempt: unreported ones.</t>
  </si>
  <si>
    <t xml:space="preserve">5. VOID DONATIONS</t>
  </si>
  <si>
    <t xml:space="preserve">•  Between spouses (except minor gifts).</t>
  </si>
  <si>
    <t xml:space="preserve">•  Between persons guilty of adultery or concubinage at the time of the donation.</t>
  </si>
  <si>
    <t xml:space="preserve">•  Between persons found guilty of the same criminal offense, in consideration thereof.</t>
  </si>
  <si>
    <t xml:space="preserve">•  To a public officer, or his wife, descendants or ascendants, by reason of his office.</t>
  </si>
  <si>
    <t xml:space="preserve">•  To incapacitated persons.</t>
  </si>
  <si>
    <t xml:space="preserve">•  Of FUTURE property.</t>
  </si>
  <si>
    <t xml:space="preserve">6. VALUATION</t>
  </si>
  <si>
    <t xml:space="preserve">Value for tax</t>
  </si>
  <si>
    <t xml:space="preserve">HIGHER of fair market value or zonal value</t>
  </si>
  <si>
    <t xml:space="preserve">Personal property</t>
  </si>
  <si>
    <t xml:space="preserve">Fair market value</t>
  </si>
  <si>
    <t xml:space="preserve">Shares, if traded</t>
  </si>
  <si>
    <t xml:space="preserve">Average of the HIGH and LOW price on the date of the gift</t>
  </si>
  <si>
    <t xml:space="preserve">Shares, if NOT traded</t>
  </si>
  <si>
    <t xml:space="preserve">BOOK value</t>
  </si>
  <si>
    <t xml:space="preserve">•  As a rule, value the property at its fair market value existing WHEN THE GIFT WAS MADE.</t>
  </si>
  <si>
    <t xml:space="preserve">•  The time to value is when the donation is completed and perfected (delivered AND accepted).</t>
  </si>
  <si>
    <t xml:space="preserve">•  If the donation has a SUSPENSIVE condition, value it only when the condition is fulfilled (subject to the time of delivery and acceptance).</t>
  </si>
  <si>
    <t xml:space="preserve">ADDED BY ME (not in your original; double-check): WORKED EXAMPLE: In one calendar year, Ana donates P400,000 in January and P350,000 (cash) in June. Total gifts = P750,000. Taxable = 750,000 - 250,000 = P500,000. Donor's tax = 6% x 500,000 = P30,000. Gifts are added together over the calendar year; the P250,000 is only deducted once.</t>
  </si>
  <si>
    <t xml:space="preserve">1.  6% on total gifts of the year over P250,000. Return due in 30 days.</t>
  </si>
  <si>
    <t xml:space="preserve">2.  4 requisites: Capacity, Intent, Delivery, Acceptance (C-I-D-A).</t>
  </si>
  <si>
    <t xml:space="preserve">3.  Personal property: oral up to P5,000, writing above; real property: public document.</t>
  </si>
  <si>
    <t xml:space="preserve">4.  Void donations: between spouses (except minor gifts), future property, public officers, etc.</t>
  </si>
  <si>
    <t xml:space="preserve">5.  Valuation: real = higher of FMV/zonal; shares traded = average of high and low; not traded = book value.</t>
  </si>
  <si>
    <t xml:space="preserve">ESTATE TAX</t>
  </si>
  <si>
    <t xml:space="preserve">THE BIG IDEA (read this first): Estate tax is the tax on the right to pass property at death. It is 6% of the NET estate. Formula: Gross estate - Ordinary deductions - Special deductions = Taxable estate. Then 6%.</t>
  </si>
  <si>
    <t xml:space="preserve">1. THE BIG FORMULA</t>
  </si>
  <si>
    <t xml:space="preserve">What you do</t>
  </si>
  <si>
    <t xml:space="preserve">GROSS ESTATE: add up everything the decedent owned at death (exclusive property + his share in the community/conjugal property).</t>
  </si>
  <si>
    <t xml:space="preserve">Add up</t>
  </si>
  <si>
    <t xml:space="preserve">Less ORDINARY DEDUCTIONS: Losses, Indebtedness, Taxes (and other items).</t>
  </si>
  <si>
    <t xml:space="preserve">LIT</t>
  </si>
  <si>
    <t xml:space="preserve">RESULT: Gross estate after ordinary deductions.</t>
  </si>
  <si>
    <t xml:space="preserve">Less SPECIAL DEDUCTIONS: standard deduction P5,000,000; family home (up to P10,000,000); amount received by heirs under RA 4917; share of the surviving spouse in the joint property.</t>
  </si>
  <si>
    <t xml:space="preserve">5M, 10M, RA 4917, Spouse</t>
  </si>
  <si>
    <t xml:space="preserve">RESULT: TAXABLE ESTATE.</t>
  </si>
  <si>
    <t xml:space="preserve">x 6% = ESTATE TAX DUE. Return (BIR Form 1801) is due within 1 year from the decedent's death.</t>
  </si>
  <si>
    <t xml:space="preserve">6% and 1 year</t>
  </si>
  <si>
    <t xml:space="preserve">2. WHAT IS INCLUDED IN THE GROSS ESTATE</t>
  </si>
  <si>
    <t xml:space="preserve">(a) Real property</t>
  </si>
  <si>
    <t xml:space="preserve">(b) Tangible and intangible personal property</t>
  </si>
  <si>
    <t xml:space="preserve">Intangibles: franchises that must be exercised in the Philippines; shares, obligations or bonds issued by a DOMESTIC corporation; shares of a FOREIGN corporation if 85% of its business is located in the Philippines, or if they acquired a business situs in the Philippines; shares or rights in any partnership, business or industry in the Philippines.</t>
  </si>
  <si>
    <t xml:space="preserve">(c) Transfer in contemplation of death</t>
  </si>
  <si>
    <t xml:space="preserve">(d) Revocable transfer</t>
  </si>
  <si>
    <t xml:space="preserve">(e) Transfer under a general power of appointment</t>
  </si>
  <si>
    <t xml:space="preserve">(f) Transfer for insufficient consideration</t>
  </si>
  <si>
    <t xml:space="preserve">(g) Proceeds of life insurance</t>
  </si>
  <si>
    <t xml:space="preserve">Included where the estate or executor is the beneficiary, or where the beneficiary is REVOCABLE. EXCEPTIONS: (i) GSIS benefits (RA 728); (ii) SSS death benefits (RA 1792); (iii) retirement benefits of private firm employees (RA 4917), if the amount is included in the gross estate it is deductible as a special deduction; (iv) payments from the Philippines and US governments to the heirs of WWII veterans and civilians (RA 136); (v) war damages from Philippine and US governments; (vi) amounts from the US Veterans Administration.</t>
  </si>
  <si>
    <t xml:space="preserve">(h) Claims against an insolvent person</t>
  </si>
  <si>
    <t xml:space="preserve">3. EXCLUSIONS AND EXEMPTIONS (Tax Code)</t>
  </si>
  <si>
    <t xml:space="preserve">•  Merger of USUFRUCT in the owner of the naked title.</t>
  </si>
  <si>
    <t xml:space="preserve">•  Transmission or delivery of the inheritance or legacy by the FIDUCIARY heir or legatee to the FIDEICOMMISSARY.</t>
  </si>
  <si>
    <t xml:space="preserve">•  Transmission from the first heir, legatee or donee in favor of another beneficiary, in accordance with the will of the predecessor.</t>
  </si>
  <si>
    <t xml:space="preserve">•  All bequests, devises, legacies or transfers to social welfare, cultural and charitable institutions, no part of whose net income benefits any individual, PROVIDED no more than 30% is used for administration.</t>
  </si>
  <si>
    <t xml:space="preserve">4. ORDINARY DEDUCTIONS - 'LIT'</t>
  </si>
  <si>
    <t xml:space="preserve">Deduction</t>
  </si>
  <si>
    <t xml:space="preserve">Requisites / notes</t>
  </si>
  <si>
    <t xml:space="preserve">(a) LOSSES</t>
  </si>
  <si>
    <t xml:space="preserve">From fire, storm, shipwreck, other casualty, robbery, theft or embezzlement; (ii) NOT compensated by insurance; (iii) NOT claimed as an income tax deduction of the estate; (iv) occurred DURING the settlement of the estate; (v) occurred NOT LATER than the last day for payment of estate tax.</t>
  </si>
  <si>
    <t xml:space="preserve">(b) INDEBTEDNESS or claims against the estate</t>
  </si>
  <si>
    <t xml:space="preserve">(c) Claims against an insolvent person</t>
  </si>
  <si>
    <t xml:space="preserve">(d) Unpaid MORTGAGE or indebtedness</t>
  </si>
  <si>
    <t xml:space="preserve">(e) Unpaid TAXES</t>
  </si>
  <si>
    <t xml:space="preserve">EXCEPT: (i) income tax on income received AFTER death; (ii) property taxes NOT accrued before death; (iii) the estate tax itself.</t>
  </si>
  <si>
    <t xml:space="preserve">(f) Transfers for PUBLIC USE</t>
  </si>
  <si>
    <t xml:space="preserve">(g) VANISHING deduction</t>
  </si>
  <si>
    <t xml:space="preserve">See Section 6 below.</t>
  </si>
  <si>
    <t xml:space="preserve">5. SPECIAL DEDUCTIONS</t>
  </si>
  <si>
    <t xml:space="preserve">FAMILY HOME (up to P10,000,000)</t>
  </si>
  <si>
    <t xml:space="preserve">Requisites: (i) the decedent is married or the head of a family; (ii) the family home is the ACTUAL residential home of the decedent and family at the time of death; (iii) CERTIFIED by the barangay captain; (iv) LOCATED in the Philippines; (v) the value is INCLUDED in the gross estate.</t>
  </si>
  <si>
    <t xml:space="preserve">STANDARD DEDUCTION</t>
  </si>
  <si>
    <t xml:space="preserve">P5,000,000 (automatic; no proof needed).</t>
  </si>
  <si>
    <t xml:space="preserve">Amount received by heirs under RA 4917</t>
  </si>
  <si>
    <t xml:space="preserve">Retirement benefits from private firms.</t>
  </si>
  <si>
    <t xml:space="preserve">SHARE OF THE SURVIVING SPOUSE in the joint property</t>
  </si>
  <si>
    <t xml:space="preserve">The surviving spouse's half of the conjugal/community property (after ordinary deductions).</t>
  </si>
  <si>
    <t xml:space="preserve">6. VANISHING DEDUCTION (property recently inherited or donated)</t>
  </si>
  <si>
    <t xml:space="preserve">(a) The present decedent died within 5 YEARS from receipt of the property from a prior decedent or donor. (b) The property was part of the TAXABLE estate of the prior decedent, or a TAXABLE gift of the donor. (c) The estate tax on the prior succession or the donor's tax on the gift was FINALLY DETERMINED and PAID. (d) The property is IDENTIFIABLE as the one received (or something acquired in exchange for it). (e) NO vanishing deduction was allowable to the estate of the prior decedent.</t>
  </si>
  <si>
    <t xml:space="preserve">'5 Years, Taxable, Paid, Identifiable, No double.'</t>
  </si>
  <si>
    <t xml:space="preserve">Years between the two deaths (more than)</t>
  </si>
  <si>
    <t xml:space="preserve">Not more than</t>
  </si>
  <si>
    <t xml:space="preserve">-</t>
  </si>
  <si>
    <t xml:space="preserve">100%</t>
  </si>
  <si>
    <t xml:space="preserve">80%</t>
  </si>
  <si>
    <t xml:space="preserve">3 years</t>
  </si>
  <si>
    <t xml:space="preserve">60%</t>
  </si>
  <si>
    <t xml:space="preserve">4 years</t>
  </si>
  <si>
    <t xml:space="preserve">5 years</t>
  </si>
  <si>
    <t xml:space="preserve">Computation steps</t>
  </si>
  <si>
    <t xml:space="preserve">1. Initial value (basis)</t>
  </si>
  <si>
    <t xml:space="preserve">The LOWER of the value of the property in the hands of the prior decedent vs. the present decedent.</t>
  </si>
  <si>
    <t xml:space="preserve">2. New initial value</t>
  </si>
  <si>
    <t xml:space="preserve">Reduce the initial value by any mortgage payment made by the present decedent.</t>
  </si>
  <si>
    <t xml:space="preserve">3. Final value (basis)</t>
  </si>
  <si>
    <t xml:space="preserve">Reduce the new initial value by the property's proportionate share of the ordinary deductions (claims, unpaid mortgages, etc.) and, where applicable, the spouse's share. Use your review center's formula.</t>
  </si>
  <si>
    <t xml:space="preserve">4. Vanishing deduction</t>
  </si>
  <si>
    <t xml:space="preserve">Final value x the percentage in the table above.</t>
  </si>
  <si>
    <t xml:space="preserve">HOOK: Vanishing deduction table: 'The property fades 20% each year: 100, 80, 60, 40, 20, then gone.'</t>
  </si>
  <si>
    <t xml:space="preserve">7. PROPERTY RELATIONS BETWEEN SPOUSES (the three regimes)</t>
  </si>
  <si>
    <t xml:space="preserve">Regime</t>
  </si>
  <si>
    <t xml:space="preserve">CSP - Complete Separation of Property</t>
  </si>
  <si>
    <t xml:space="preserve">Each spouse owns his own property. No community.</t>
  </si>
  <si>
    <t xml:space="preserve">CPG - Conjugal Partnership of Gains</t>
  </si>
  <si>
    <t xml:space="preserve">Spouses own jointly only the GAINS (the fruits and income). Property each brought into the marriage stays exclusive.</t>
  </si>
  <si>
    <t xml:space="preserve">ACP - Absolute Community of Property</t>
  </si>
  <si>
    <t xml:space="preserve">Almost EVERYTHING each spouse owns before and during marriage goes into the community (default regime for marriages after Aug. 3, 1988 without a prenuptial agreement).</t>
  </si>
  <si>
    <t xml:space="preserve">CPG</t>
  </si>
  <si>
    <t xml:space="preserve">ACP</t>
  </si>
  <si>
    <t xml:space="preserve">BEFORE marriage: gratuitous (gift or inheritance)</t>
  </si>
  <si>
    <t xml:space="preserve">Exclusive</t>
  </si>
  <si>
    <t xml:space="preserve">Community</t>
  </si>
  <si>
    <t xml:space="preserve">BEFORE marriage: onerous (bought)</t>
  </si>
  <si>
    <t xml:space="preserve">BEFORE marriage: where the spouse has a LEGITIMATE DESCENDANT from a previous marriage</t>
  </si>
  <si>
    <t xml:space="preserve">DURING marriage: gratuitous title (gift/inheritance)</t>
  </si>
  <si>
    <t xml:space="preserve">DURING marriage: onerous title (bought)</t>
  </si>
  <si>
    <t xml:space="preserve">Conjugal</t>
  </si>
  <si>
    <t xml:space="preserve">DURING marriage: in exchange of EXCLUSIVE property</t>
  </si>
  <si>
    <t xml:space="preserve">DURING marriage: in exchange of conjugal/community property</t>
  </si>
  <si>
    <t xml:space="preserve">DURING marriage: fruits or income from EXCLUSIVE property</t>
  </si>
  <si>
    <t xml:space="preserve">DURING marriage: fruits or income from conjugal/community property</t>
  </si>
  <si>
    <t xml:space="preserve">Property for the personal and exclusive use of either spouse</t>
  </si>
  <si>
    <t xml:space="preserve">Exclusive (but JEWELRY is community under ACP; N/A to CPG)</t>
  </si>
  <si>
    <t xml:space="preserve">HOOK: ACP (the default): almost everything goes into the pot, EXCEPT gifts/inheritance received during marriage and what came from exclusive property. CPG: only the GAINS go in the pot.</t>
  </si>
  <si>
    <t xml:space="preserve">8. VALUATION AT THE TIME OF DEATH</t>
  </si>
  <si>
    <t xml:space="preserve">Value</t>
  </si>
  <si>
    <t xml:space="preserve">Average of the HIGH and LOW price</t>
  </si>
  <si>
    <t xml:space="preserve">ADDED BY ME (not in your original; double-check): WORKED EXAMPLE (same as your Filing tab): Exclusive properties P19M, conjugal P26M; ordinary deductions P1M exclusive and P3M conjugal. After ordinary deductions: P18M exclusive + P23M conjugal = P41M. Special deductions: standard P5M + family home P10M + spouse's share P11.5M (half of P23M) = P26.5M. Taxable estate = 41M - 26.5M = P14.5M. Estate tax = 6% x 14.5M = P870,000.</t>
  </si>
  <si>
    <t xml:space="preserve">1.  6% of the NET estate; return within 1 year of death.</t>
  </si>
  <si>
    <t xml:space="preserve">2.  Ordinary deductions = LIT (Losses, Indebtedness, Taxes). Special = standard P5M, family home P10M, RA 4917, spouse's share.</t>
  </si>
  <si>
    <t xml:space="preserve">3.  Vanishing deduction: 100/80/60/40/20 over 5 years.</t>
  </si>
  <si>
    <t xml:space="preserve">4.  ACP (default): almost everything is community. CPG: only the gains.</t>
  </si>
  <si>
    <t xml:space="preserve">5.  Valuation: real property = higher of FMV or zonal; shares = average of high/low if traded, book value if not.</t>
  </si>
  <si>
    <t xml:space="preserve">VALUE-ADDED TAX (VAT)</t>
  </si>
  <si>
    <t xml:space="preserve">THE BIG IDEA (read this first): VAT is a 12% tax on each step of selling something. You collect VAT from your customer (OUTPUT VAT) and subtract the VAT you paid your suppliers (INPUT VAT). You pay the government only the difference: VAT payable = Output VAT - Input VAT.</t>
  </si>
  <si>
    <t xml:space="preserve">1. THE THREE KINDS OF SALES (the most-tested idea in VAT)</t>
  </si>
  <si>
    <t xml:space="preserve">VAT charged to customer?</t>
  </si>
  <si>
    <t xml:space="preserve">Can the seller claim INPUT VAT?</t>
  </si>
  <si>
    <t xml:space="preserve">VATABLE sale</t>
  </si>
  <si>
    <t xml:space="preserve">Yes, 12%</t>
  </si>
  <si>
    <t xml:space="preserve">Yes (credit against output VAT)</t>
  </si>
  <si>
    <t xml:space="preserve">Normal</t>
  </si>
  <si>
    <t xml:space="preserve">ZERO-RATED sale</t>
  </si>
  <si>
    <t xml:space="preserve">Yes, but at 0%</t>
  </si>
  <si>
    <t xml:space="preserve">YES, and can claim refund or credit of input tax</t>
  </si>
  <si>
    <t xml:space="preserve">Zero: still in the VAT system; 'zero but I get money back'</t>
  </si>
  <si>
    <t xml:space="preserve">EXEMPT sale</t>
  </si>
  <si>
    <t xml:space="preserve">NO input credit; the input VAT becomes a cost</t>
  </si>
  <si>
    <t xml:space="preserve">Exempt: OUT of the VAT system; 'I do not charge, and I cannot claim'</t>
  </si>
  <si>
    <t xml:space="preserve">TRAP: ZERO-RATED is NOT the same as EXEMPT. Zero-rated can claim input VAT; exempt cannot. Exam questions love swapping them.</t>
  </si>
  <si>
    <t xml:space="preserve">2. SOURCES OF OUTPUT VAT</t>
  </si>
  <si>
    <t xml:space="preserve">•  Sale of goods.</t>
  </si>
  <si>
    <t xml:space="preserve">•  Sale of services.</t>
  </si>
  <si>
    <t xml:space="preserve">•  Sale of properties.</t>
  </si>
  <si>
    <t xml:space="preserve">•  DEEMED SALES (see Section 3).</t>
  </si>
  <si>
    <t xml:space="preserve">•  ZERO-RATED sales (see Section 4).</t>
  </si>
  <si>
    <t xml:space="preserve">3. DEEMED SALE TRANSACTIONS (5) - treated as sales even though no sale happened</t>
  </si>
  <si>
    <t xml:space="preserve">Deemed sale</t>
  </si>
  <si>
    <t xml:space="preserve">i</t>
  </si>
  <si>
    <t xml:space="preserve">Transfer, use or consumption, NOT in the ordinary course of business, of goods or properties ordinarily intended for sale</t>
  </si>
  <si>
    <t xml:space="preserve">T - Transfer/use</t>
  </si>
  <si>
    <t xml:space="preserve">ii</t>
  </si>
  <si>
    <t xml:space="preserve">Distribution or transfer of INVENTORY to SHAREHOLDERS for their shares in the profits</t>
  </si>
  <si>
    <t xml:space="preserve">D - Distribution to shareholders</t>
  </si>
  <si>
    <t xml:space="preserve">iii</t>
  </si>
  <si>
    <t xml:space="preserve">Distribution or transfer of INVENTORY to CREDITORS in payment of debt</t>
  </si>
  <si>
    <t xml:space="preserve">C - Creditors</t>
  </si>
  <si>
    <t xml:space="preserve">iv</t>
  </si>
  <si>
    <t xml:space="preserve">CONSIGNMENT of goods if the actual sale is not made within 60 DAYS from the date consigned</t>
  </si>
  <si>
    <t xml:space="preserve">C - Consignment (60 days)</t>
  </si>
  <si>
    <t xml:space="preserve">v</t>
  </si>
  <si>
    <t xml:space="preserve">RETIREMENT from or CESSATION of business, with respect to ENDING INVENTORIES</t>
  </si>
  <si>
    <t xml:space="preserve">R - Retirement/closure</t>
  </si>
  <si>
    <t xml:space="preserve">HOOK: 'TD-CCR': Transfer, Distribution to shareholders, Creditors, Consignment (60 days), Retirement. (A fun story: 'Tito Dan Calls Carlo to Retire.')</t>
  </si>
  <si>
    <t xml:space="preserve">4. ZERO-RATED SALES</t>
  </si>
  <si>
    <t xml:space="preserve">Export sales</t>
  </si>
  <si>
    <t xml:space="preserve">(i) Sale and actual shipment of goods from the Philippines to a foreign country, paid for in acceptable foreign currency and accounted for under BSP rules.</t>
  </si>
  <si>
    <t xml:space="preserve">Services to foreign business</t>
  </si>
  <si>
    <t xml:space="preserve">(ii) Services (other than processing, manufacturing or repacking of goods) for persons doing business OUTSIDE the Philippines, performed in the Philippines, paid in acceptable foreign currency accounted for under BSP rules.</t>
  </si>
  <si>
    <t xml:space="preserve">International shipping and air transport</t>
  </si>
  <si>
    <t xml:space="preserve">(iii) Sale of goods, supplies, equipment and fuel to persons engaged in international shipping or air transport, if exclusively used for international transport. (iv) Services rendered to persons engaged in international shipping or air transport. (v) Transport of passengers and cargo by domestic air or sea carriers from the Philippines to a foreign country.</t>
  </si>
  <si>
    <t xml:space="preserve">Renewable energy</t>
  </si>
  <si>
    <t xml:space="preserve">(vi) Sale of power or fuel generated through renewable sources of energy.</t>
  </si>
  <si>
    <t xml:space="preserve">EFFECTIVELY zero-rated (international agreements or special laws)</t>
  </si>
  <si>
    <t xml:space="preserve">(i) Sale to Asian Development Bank (ADB). (ii) Sale to International Rice Research Institute (IRRI). (iii) Sale to registered and accredited enterprises with SBMA (Subic Bay). (iv) Sale to registered and accredited enterprises with PEZA.</t>
  </si>
  <si>
    <t xml:space="preserve">HOOK: Effectively zero-rated 'A-I-S-P': ADB, IRRI, SBMA, PEZA.</t>
  </si>
  <si>
    <t xml:space="preserve">5. SOURCES OF INPUT VAT</t>
  </si>
  <si>
    <t xml:space="preserve">•  Purchase of GOODS: (i) for sale; (ii) for conversion into or intended to form part of finished goods; (iii) for supplies.</t>
  </si>
  <si>
    <t xml:space="preserve">•  Purchase of SERVICES.</t>
  </si>
  <si>
    <t xml:space="preserve">•  IMPORTATION.</t>
  </si>
  <si>
    <t xml:space="preserve">•  Purchase of CAPITAL GOODS.</t>
  </si>
  <si>
    <t xml:space="preserve">•  PRESUMPTIVE input VAT (e.g., for processors of certain food items) - given by law without an actual invoice.</t>
  </si>
  <si>
    <t xml:space="preserve">•  TRANSITIONAL input VAT (for those who newly register for VAT, based on beginning inventory).</t>
  </si>
  <si>
    <t xml:space="preserve">•  STANDARD input VAT (a fixed percentage for certain cases).</t>
  </si>
  <si>
    <t xml:space="preserve">HOOK: 'G-S-I-C' (Goods, Services, Importation, Capital goods) are the normal ones; 'P-T-S' (Presumptive, Transitional, Standard) are the three special ones.</t>
  </si>
  <si>
    <t xml:space="preserve">6. VAT-EXEMPT TRANSACTIONS (Sec. 109) - grouped by theme so they are not 30 separate items</t>
  </si>
  <si>
    <t xml:space="preserve">Exempt items</t>
  </si>
  <si>
    <t xml:space="preserve">FARM AND FOOD (a, b, f, l)</t>
  </si>
  <si>
    <t xml:space="preserve">Agricultural and marine food products in their original state (even if simply preserved: frozen, dried, salted, broiled, roasted, smoked, stripped). Fertilizers, seeds, seedlings, fingerlings; fish, prawn, livestock, poultry feeds. Services of agricultural contract growers and milling of palay into rice, corn into grits, sugar cane into raw sugar. Sales by agricultural cooperatives (registered with CDA) to members and sales of their produce to non-members.</t>
  </si>
  <si>
    <t xml:space="preserve">Farm to table</t>
  </si>
  <si>
    <t xml:space="preserve">PERSONAL IMPORTS (c, d)</t>
  </si>
  <si>
    <t xml:space="preserve">Importation of personal and household effects belonging to residents returning from abroad and non-residents coming to resettle here. Importation of professional instruments, wearing apparel, domestic animals, household effects of persons settling here, for their own use (not for barter or sale).</t>
  </si>
  <si>
    <t xml:space="preserve">Moving home</t>
  </si>
  <si>
    <t xml:space="preserve">SERVICES (e, g, h, i, j, v)</t>
  </si>
  <si>
    <t xml:space="preserve">Services subject to OPT. Medical, dental, hospital, veterinary services (except those by professionals). Educational services (incl. online courses, seminars, training) by private schools accredited by DepEd, CHED, TESDA, and by government schools; sale of online subscription-based services to those agencies and recognized schools. Services under an employer-employee relationship. Services by regional or area headquarters of multinationals acting as supervisory, communication and coordinating centers. Services of banks, non-bank financial intermediaries performing quasi-banking functions (money changers, pawnshops).</t>
  </si>
  <si>
    <t xml:space="preserve">Health, Education, Employee, Banks</t>
  </si>
  <si>
    <t xml:space="preserve">INTERNATIONAL AND SPECIAL LAWS (k, s, t, u, dd)</t>
  </si>
  <si>
    <t xml:space="preserve">Transactions exempt under international agreements or special laws. Transport of passengers by international carriers. Sale, importation or lease of passenger or cargo vessels and aircraft, including engines, equipment, spare parts (domestic or international). Importation of fuel, goods and supplies by persons in international shipping or air transport (exclusively for international transport). Importation of goods by an export-oriented enterprise with export sales of at least 70% of total annual production of the previous year, if directly attributable to the export activity.</t>
  </si>
  <si>
    <t xml:space="preserve">International</t>
  </si>
  <si>
    <t xml:space="preserve">COOPERATIVES (l, m, n)</t>
  </si>
  <si>
    <t xml:space="preserve">Sales by agricultural cooperatives registered with CDA. Gross receipts from lending by credit or multi-purpose cooperatives. Sales by non-agricultural, non-electric, non-credit cooperatives registered with CDA, if each member's share capital does not exceed P15,000.</t>
  </si>
  <si>
    <t xml:space="preserve">CDA co-ops</t>
  </si>
  <si>
    <t xml:space="preserve">EXPORT BY NON-VAT</t>
  </si>
  <si>
    <t xml:space="preserve">(o) Export sales by NON-VAT registered individuals.</t>
  </si>
  <si>
    <t xml:space="preserve">REAL ESTATE (p, q, y, x)</t>
  </si>
  <si>
    <t xml:space="preserve">Sale of real properties NOT primarily held for sale to customers or for lease in the ordinary course of business, or real property utilized for low-cost and socialized housing (RA 7279). Sale of HOUSE AND LOT and other residential dwellings valued at P3,600,000 or below (adjusted by CPI every 3 years). LEASE of a residential unit with monthly rental NOT exceeding P15,000. Association dues, membership fees and other charges by homeowners associations and condominium corporations. Transfer of property in tax-free exchanges under Sec. 40(C)(2) (newly organized corporation, merger and consolidation).</t>
  </si>
  <si>
    <t xml:space="preserve">Housing: 3.6M / 15K</t>
  </si>
  <si>
    <t xml:space="preserve">BOOKS AND READING (r)</t>
  </si>
  <si>
    <t xml:space="preserve">Sale, importation, printing or publication of books, newspapers, magazines, journals, review bulletins and educational reading material covered by the UNESCO Agreement, INCLUDING digital or electronic format, if not devoted principally to paid advertisements.</t>
  </si>
  <si>
    <t xml:space="preserve">Reading (now includes digital)</t>
  </si>
  <si>
    <t xml:space="preserve">SPECIAL GROUPS (w, z, aa)</t>
  </si>
  <si>
    <t xml:space="preserve">Sale of goods or lease of goods to senior citizens and PWDs. Sale of gold to the BSP. Sale or importation of prescription drugs and medicines for diabetes, high cholesterol, hypertension, cancer, mental illness, tuberculosis and kidney diseases.</t>
  </si>
  <si>
    <t xml:space="preserve">Seniors/PWD, Gold to BSP, Maintenance medicines</t>
  </si>
  <si>
    <t xml:space="preserve">SMALL BUSINESS (cc)</t>
  </si>
  <si>
    <t xml:space="preserve">Sale or lease of goods or properties or performance of services (other than the above) if GROSS ANNUAL SALES do NOT exceed P3,000,000, adjusted by CPI every 3 years.</t>
  </si>
  <si>
    <t xml:space="preserve">Below P3M = exempt (then 3% OPT)</t>
  </si>
  <si>
    <t xml:space="preserve">TRAP: Gross sales under P3M are VAT-exempt but the seller pays 3% OPT (unless he chose the 8% option as an individual). Once sales exceed P3M the seller MUST register for VAT and charges 12%.</t>
  </si>
  <si>
    <t xml:space="preserve">7. INVOICING REQUIREMENTS (VAT invoice for every sale, barter, exchange or lease)</t>
  </si>
  <si>
    <t xml:space="preserve">What the invoice must show</t>
  </si>
  <si>
    <t xml:space="preserve">A statement that the seller is a VAT-registered person, followed by the seller's TIN.</t>
  </si>
  <si>
    <t xml:space="preserve">The total amount the purchaser pays, with an indication that it INCLUDES VAT. The tax amount is shown as a separate item. If the sale is exempt, write 'VAT-exempt sale'. If zero-rated, write 'zero-rated sale'. If mixed, show the breakdown between taxable, exempt and zero-rated components and the VAT computed on each.</t>
  </si>
  <si>
    <t xml:space="preserve">The date of the transaction, quantity, unit cost and description of the goods or properties, or nature of the service.</t>
  </si>
  <si>
    <t xml:space="preserve">For sales of P1,000 or more to a VAT-registered buyer: the buyer's name, address and TIN.</t>
  </si>
  <si>
    <t xml:space="preserve">For digital services by a VAT-registered non-resident digital service provider: date of the transaction, transaction reference number, identification of the consumer, brief description of the transaction, and the total amount with an indication that it includes VAT.</t>
  </si>
  <si>
    <t xml:space="preserve">ACCOUNTING REQUIREMENT: all persons subject to VAT must, besides the regular accounting records, maintain a SUBSIDIARY SALES JOURNAL and SUBSIDIARY PURCHASE JOURNAL where the daily sales and purchases are recorded.</t>
  </si>
  <si>
    <t xml:space="preserve">8. WHAT EOPTA CHANGED FOR VAT</t>
  </si>
  <si>
    <t xml:space="preserve">Before EOPTA</t>
  </si>
  <si>
    <t xml:space="preserve">Under EOPTA</t>
  </si>
  <si>
    <t xml:space="preserve">Tax base on sale of services</t>
  </si>
  <si>
    <t xml:space="preserve">Gross RECEIPTS</t>
  </si>
  <si>
    <t xml:space="preserve">Gross SALES</t>
  </si>
  <si>
    <t xml:space="preserve">Invoicing for services</t>
  </si>
  <si>
    <t xml:space="preserve">VAT Official Receipt</t>
  </si>
  <si>
    <t xml:space="preserve">VAT INVOICE (one invoice for goods and services)</t>
  </si>
  <si>
    <t xml:space="preserve">VAT threshold</t>
  </si>
  <si>
    <t xml:space="preserve">P3,000,000 fixed</t>
  </si>
  <si>
    <t xml:space="preserve">P3,000,000 but adjusted using CPI every 3 years</t>
  </si>
  <si>
    <t xml:space="preserve">Exemption on sale of house and lot</t>
  </si>
  <si>
    <t xml:space="preserve">P3,199,200</t>
  </si>
  <si>
    <t xml:space="preserve">P3,600,000</t>
  </si>
  <si>
    <t xml:space="preserve">VAT filing</t>
  </si>
  <si>
    <t xml:space="preserve">Monthly and quarterly</t>
  </si>
  <si>
    <t xml:space="preserve">QUARTERLY only</t>
  </si>
  <si>
    <t xml:space="preserve">VAT refunds</t>
  </si>
  <si>
    <t xml:space="preserve">No classification</t>
  </si>
  <si>
    <t xml:space="preserve">Classified into low, medium and high-risk claims (based on amount, compliance history, frequency of claims)</t>
  </si>
  <si>
    <t xml:space="preserve">ADDED BY ME (not in your original; double-check): Your source's VAT example (Filing tab) amortizes input VAT on capital goods over 60 months. Ask your reviewer whether the board still expects amortization or full claim, because the amortization rule under TRAIN was set to lapse after 5 years. See the CHECK THESE tab.</t>
  </si>
  <si>
    <t xml:space="preserve">1.  VAT payable = Output VAT (12%) - Input VAT.</t>
  </si>
  <si>
    <t xml:space="preserve">2.  Zero-rated: can claim input VAT and refund. Exempt: cannot.</t>
  </si>
  <si>
    <t xml:space="preserve">3.  Five deemed sales: Transfer, Distribution to shareholders, Creditors, Consignment (60 days), Retirement.</t>
  </si>
  <si>
    <t xml:space="preserve">4.  Thresholds: P3M (VAT registration), P3.6M (house and lot exemption), P15,000 (lease exemption).</t>
  </si>
  <si>
    <t xml:space="preserve">5.  EOPTA: VAT on services is on gross SALES, VAT INVOICE for services, and QUARTERLY filing only.</t>
  </si>
  <si>
    <t xml:space="preserve">OTHER PERCENTAGE TAX (OPT)</t>
  </si>
  <si>
    <t xml:space="preserve">THE BIG IDEA (read this first): OPT is a tax on gross sales or receipts for businesses that are NOT in the VAT system (small sellers, carriers, banks, insurers, amusement places, etc.). Each type has its own rate; the order follows Sections 116 to 127 of the Tax Code.</t>
  </si>
  <si>
    <t xml:space="preserve">1. THE TABLE (Sections 116 to 127) - after CREATE and EOPTA (base is purely gross sales)</t>
  </si>
  <si>
    <t xml:space="preserve">Section / who</t>
  </si>
  <si>
    <t xml:space="preserve">Tax base</t>
  </si>
  <si>
    <t xml:space="preserve">116: Persons exempt from VAT and not VAT-registered</t>
  </si>
  <si>
    <t xml:space="preserve">'1-1-6 is three percent'</t>
  </si>
  <si>
    <t xml:space="preserve">117: Domestic carriers and keepers of garages</t>
  </si>
  <si>
    <t xml:space="preserve">118: International air and shipping carriers doing business in the Philippines</t>
  </si>
  <si>
    <t xml:space="preserve">119: Franchise grantees: GAS AND WATER utilities</t>
  </si>
  <si>
    <t xml:space="preserve">Gas and water = 2</t>
  </si>
  <si>
    <t xml:space="preserve">119: Franchise grantees: RADIO AND TV broadcasting companies</t>
  </si>
  <si>
    <t xml:space="preserve">120: Overseas dispatch, message or conversation originating from the Philippines</t>
  </si>
  <si>
    <t xml:space="preserve">121: BANKS and quasi-banks: interest, commissions, discounts from lending and financial leasing, MATURITY 5 years or less</t>
  </si>
  <si>
    <t xml:space="preserve">Gross receipts or income</t>
  </si>
  <si>
    <t xml:space="preserve">Short = 5</t>
  </si>
  <si>
    <t xml:space="preserve">121: same, MATURITY more than 5 years</t>
  </si>
  <si>
    <t xml:space="preserve">1%</t>
  </si>
  <si>
    <t xml:space="preserve">Long = 1</t>
  </si>
  <si>
    <t xml:space="preserve">121: dividends and equity shares and net income of subsidiaries</t>
  </si>
  <si>
    <t xml:space="preserve">121: royalties, rentals, profits from exchange and other gross income items</t>
  </si>
  <si>
    <t xml:space="preserve">121: net trading gains within the year of foreign currency, debt securities, derivatives and similar</t>
  </si>
  <si>
    <t xml:space="preserve">122: Other non-bank financial intermediaries: interest, commissions, discounts, other gross income items</t>
  </si>
  <si>
    <t xml:space="preserve">122: lending and financial leasing, maturity 5 years or less / more than 5 years</t>
  </si>
  <si>
    <t xml:space="preserve">5% / 1%</t>
  </si>
  <si>
    <t xml:space="preserve">123: Life insurance premiums</t>
  </si>
  <si>
    <t xml:space="preserve">124: Agents of non-resident foreign insurance corporations</t>
  </si>
  <si>
    <t xml:space="preserve">4%</t>
  </si>
  <si>
    <t xml:space="preserve">Agent 4</t>
  </si>
  <si>
    <t xml:space="preserve">124: Owners of property insuring directly with foreign insurers</t>
  </si>
  <si>
    <t xml:space="preserve">Total premiums paid</t>
  </si>
  <si>
    <t xml:space="preserve">Owner 5</t>
  </si>
  <si>
    <t xml:space="preserve">125: Amusement: BOXING exhibitions</t>
  </si>
  <si>
    <t xml:space="preserve">Box</t>
  </si>
  <si>
    <t xml:space="preserve">125: Amusement: professional BASKETBALL games</t>
  </si>
  <si>
    <t xml:space="preserve">Ball</t>
  </si>
  <si>
    <t xml:space="preserve">125: Amusement: COCKPITS, CABARETS, night or day clubs</t>
  </si>
  <si>
    <t xml:space="preserve">Booze</t>
  </si>
  <si>
    <t xml:space="preserve">125: Amusement: JAI-ALAI and RACETRACKS</t>
  </si>
  <si>
    <t xml:space="preserve">Bet</t>
  </si>
  <si>
    <t xml:space="preserve">126: Winnings: OWNER of the winning horse</t>
  </si>
  <si>
    <t xml:space="preserve">126: Winnings: BETTORS in horse race or jai-alai: ordinary</t>
  </si>
  <si>
    <t xml:space="preserve">126: Winnings: BETTORS special (double, forecast, quinella, trifecta)</t>
  </si>
  <si>
    <t xml:space="preserve">127: Sale, barter or exchange of LISTED shares through the local stock exchange or IPO</t>
  </si>
  <si>
    <t xml:space="preserve">Gross selling price</t>
  </si>
  <si>
    <t xml:space="preserve">0.1% (was 6/10 of 1%)</t>
  </si>
  <si>
    <t xml:space="preserve">CMEPA cut it</t>
  </si>
  <si>
    <t xml:space="preserve">2. EXEMPTIONS FOR OPT</t>
  </si>
  <si>
    <t xml:space="preserve">120 (overseas communications)</t>
  </si>
  <si>
    <t xml:space="preserve">Diplomatic services, international organizations, news agencies or services, the government.</t>
  </si>
  <si>
    <t xml:space="preserve">123 (life insurance)</t>
  </si>
  <si>
    <t xml:space="preserve">(a) Premiums refunded within 6 months after payment on account of rejection of risk or returned for other reasons. (b) Reinsurance premiums. (c) Premiums from life insurance of non-residents received abroad by branches of domestic corporations/firms/associations doing business outside the Philippines. (d) Excess of premiums on variable contracts over the amounts necessary to insure the lives of the variable contract owners. (e) Premiums collected by a purely cooperative company or association.</t>
  </si>
  <si>
    <t xml:space="preserve">125 (boxing exhibitions)</t>
  </si>
  <si>
    <t xml:space="preserve">Exempt if (a) a world or oriental championship is at stake; (b) one of the contenders is a Filipino citizen; (c) promoted by Filipinos or a corporation or association at least 60% Filipino-owned.</t>
  </si>
  <si>
    <t xml:space="preserve">3. CHANGES UNDER EOPTA</t>
  </si>
  <si>
    <t xml:space="preserve">•  The tax base for OPT is now purely GROSS SALES (before, it was a mix of gross sales and gross receipts).</t>
  </si>
  <si>
    <t xml:space="preserve">•  The minimum quarterly gross receipts requirement in Sec. 117 (3% on domestic carriers) was REMOVED (jeepney for hire P2,400 / P1,200 in provinces, and others).</t>
  </si>
  <si>
    <t xml:space="preserve">•  Sec. 125-A added: GAMING TAX on POGOs at 5% in lieu of all other direct and indirect internal revenue taxes and local taxes with respect to gaming income.</t>
  </si>
  <si>
    <t xml:space="preserve">TRAP: CREATE temporarily reduced the Sec. 116 percentage tax from 3% to 1% for July 1, 2020 to June 30, 2023. After June 30, 2023 it returned to 3%. If a question gives a year in that window, use 1%; otherwise 3%.</t>
  </si>
  <si>
    <t xml:space="preserve">1.  Sec. 116 = 3% (non-VAT persons). So are 117 and 118. Franchise: 2% gas/water, 3% radio/TV.</t>
  </si>
  <si>
    <t xml:space="preserve">2.  Banks: 5% on short loans (5 years or less), 1% on long loans, 7% on royalties/rentals/trading gains, 0% on dividends.</t>
  </si>
  <si>
    <t xml:space="preserve">3.  Amusement: Box 10, Ball 15, Booze 18, Bet 30.</t>
  </si>
  <si>
    <t xml:space="preserve">4.  Life insurance 2%; foreign insurance agent 4%; owner 5%.</t>
  </si>
  <si>
    <t xml:space="preserve">5.  Listed shares: 0.1% of gross selling price.</t>
  </si>
  <si>
    <t xml:space="preserve">EXCISE TAX</t>
  </si>
  <si>
    <t xml:space="preserve">THE BIG IDEA (read this first): Excise tax is a tax on certain 'sin' or 'luxury' goods and services made or imported in the Philippines. Two types: SPECIFIC (a fixed peso amount per unit: per liter, per kilo, per pack) and AD VALOREM (a percentage of the price).</t>
  </si>
  <si>
    <t xml:space="preserve">1. SPECIFIC TAX (a fixed amount per unit)</t>
  </si>
  <si>
    <t xml:space="preserve">1. ALCOHOL</t>
  </si>
  <si>
    <t xml:space="preserve">(a) Distilled spirits (incl. proof spirits): whisky, brandy, rum, gin, vodka, fortified wines. (b) Wines: sparkling wines, champagne, still wines. (c) Fermented liquor: beer, lager, ale, porter and other fermented liquors (except tuba, pasi, tapuy).</t>
  </si>
  <si>
    <t xml:space="preserve">Drinks</t>
  </si>
  <si>
    <t xml:space="preserve">2. TOBACCO</t>
  </si>
  <si>
    <t xml:space="preserve">(a) Tobacco products (except stemmed leaf tobacco or by-products to be exported or used for cigars/cigarettes); includes tobacco prepared for chewing. (b) Cigars. (c) Cigarettes.</t>
  </si>
  <si>
    <t xml:space="preserve">Smokes</t>
  </si>
  <si>
    <t xml:space="preserve">3. PETROLEUM</t>
  </si>
  <si>
    <t xml:space="preserve">Lubricating oils and greases; processed gas; waxes and petrolatum; denatured alcohol for motive power; naphtha, regular gasoline and similar products; leaded and unleaded premium gasoline; aviation turbo jet fuel; asphalts; kerosene; diesel fuel oil; LPG; bunker fuel oil.</t>
  </si>
  <si>
    <t xml:space="preserve">Fuel</t>
  </si>
  <si>
    <t xml:space="preserve">4. MINERAL PRODUCTS</t>
  </si>
  <si>
    <t xml:space="preserve">Coal and coke.</t>
  </si>
  <si>
    <t xml:space="preserve">Coal</t>
  </si>
  <si>
    <t xml:space="preserve">5. SWEETENED BEVERAGES</t>
  </si>
  <si>
    <t xml:space="preserve">A tax per liter of volume capacity. EXCLUDED: all milk products; 100% natural fruit juices; 100% natural vegetable juices; meal replacement and medically indicated beverages; coffee (ground, instant soluble, pre-packaged powdered).</t>
  </si>
  <si>
    <t xml:space="preserve">Sugar drinks</t>
  </si>
  <si>
    <t xml:space="preserve">HOOK: 'A-T-P-M-S': Alcohol, Tobacco, Petroleum, Mineral (coal), Sweetened beverages. 'All Taxes Pile on Many Sinners.'</t>
  </si>
  <si>
    <t xml:space="preserve">2. AD VALOREM TAX (a percentage of price)</t>
  </si>
  <si>
    <t xml:space="preserve">Notes</t>
  </si>
  <si>
    <t xml:space="preserve">1. Distilled spirits</t>
  </si>
  <si>
    <t xml:space="preserve">Spirits are subject to BOTH specific and ad valorem</t>
  </si>
  <si>
    <t xml:space="preserve">2. Cigars</t>
  </si>
  <si>
    <t xml:space="preserve">Also both</t>
  </si>
  <si>
    <t xml:space="preserve">3. AUTOMOBILES</t>
  </si>
  <si>
    <t xml:space="preserve">All automobiles EXCEPT: buses, trucks; cargo vans; jeepneys/jeepney substitutes; single cab chassis; special-purpose vehicles; automobiles used exclusively within Freeport zones.</t>
  </si>
  <si>
    <t xml:space="preserve">Purely ELECTRIC vehicles and PICK-UPS are exempt. HYBRID vehicles are taxed at 50% of the applicable rates.</t>
  </si>
  <si>
    <t xml:space="preserve">4. NON-ESSENTIAL GOODS</t>
  </si>
  <si>
    <t xml:space="preserve">Jewelry (real or imitation), pearls, precious and semi-precious stones and imitations; goods made of, or ornamented with, precious metals, imitations, or ivory (EXCEPT surgical and dental instruments, silver-plated wares, frames or mountings for spectacles, and dental gold/alloys); opera glasses and lorgnettes; perfumes and toilet waters; yachts and other vessels for pleasure or sports.</t>
  </si>
  <si>
    <t xml:space="preserve">Luxury</t>
  </si>
  <si>
    <t xml:space="preserve">5. MINERAL PRODUCTS</t>
  </si>
  <si>
    <t xml:space="preserve">(a) Non-metallic minerals and quarry resources (marble, granite, volcanic cinders, basalt, tuff, rock phosphate). (b) Metallic minerals (copper and other metallic minerals; gold and chromite). (c) Indigenous petroleum (locally-extracted mineral oil, hydrocarbon gas, bitumen, crude asphalt, mineral gas, EXCEPT locally-extracted natural gas and liquefied natural gas).</t>
  </si>
  <si>
    <t xml:space="preserve">Mining</t>
  </si>
  <si>
    <t xml:space="preserve">6. NON-ESSENTIAL SERVICES</t>
  </si>
  <si>
    <t xml:space="preserve">5% tax on gross receipts on invasive cosmetic surgeries, procedures and body enhancements for aesthetic/cosmetic purposes.</t>
  </si>
  <si>
    <t xml:space="preserve">HOOK: Ad valorem: 'D-C-A-N-M-S': Distilled spirits, Cigars, Autos, Non-essential goods, Minerals, non-essential Services. Autos: Electric and pick-ups are free; hybrid pays half.</t>
  </si>
  <si>
    <t xml:space="preserve">ADDED BY ME (not in your original; double-check): Your source does not list the actual PESO rates per liter or per pack for excise taxes, because they are updated frequently. For the exam, learn the CATEGORIES and the exemptions above, and ask your review center for the current rate schedule.</t>
  </si>
  <si>
    <t xml:space="preserve">DOCUMENTARY STAMP TAX (DST)</t>
  </si>
  <si>
    <t xml:space="preserve">THE BIG IDEA (read this first): DST is a tax on the PAPER (the document), not on the money. If you sign a document that creates, transfers or records a right or obligation (a loan, a deed of sale, a stock certificate), the document gets 'stamped' and taxed.</t>
  </si>
  <si>
    <t xml:space="preserve">1. THE BASICS</t>
  </si>
  <si>
    <t xml:space="preserve">An EXCISE tax on documents, instruments, loan agreements and papers evidencing the acceptance, assignment, sale or transfer of an obligation, right, or property incident thereto.</t>
  </si>
  <si>
    <t xml:space="preserve">Who is liable</t>
  </si>
  <si>
    <t xml:space="preserve">The person making, signing, issuing, accepting or transferring the document.</t>
  </si>
  <si>
    <t xml:space="preserve">2. THE RATES YOU MUST KNOW</t>
  </si>
  <si>
    <t xml:space="preserve">Original issuance of shares WITH PAR value</t>
  </si>
  <si>
    <t xml:space="preserve">75% of 1% of par value (0.75%, P1.50 per P200)</t>
  </si>
  <si>
    <t xml:space="preserve">Three-quarter percent</t>
  </si>
  <si>
    <t xml:space="preserve">Original issuance of shares with NO par</t>
  </si>
  <si>
    <t xml:space="preserve">75% of 1% on the ACTUAL CONSIDERATION</t>
  </si>
  <si>
    <t xml:space="preserve">SUBSEQUENT issuance of shares with par</t>
  </si>
  <si>
    <t xml:space="preserve">75% of 1% of par value</t>
  </si>
  <si>
    <t xml:space="preserve">SUBSEQUENT issuance of shares with NO par</t>
  </si>
  <si>
    <t xml:space="preserve">50% of the DST paid on the original issuance</t>
  </si>
  <si>
    <t xml:space="preserve">Half of the first</t>
  </si>
  <si>
    <t xml:space="preserve">DEBT INSTRUMENTS</t>
  </si>
  <si>
    <t xml:space="preserve">P1.50 on each P200 (75% of 1%)</t>
  </si>
  <si>
    <t xml:space="preserve">Deeds of sale and conveyances of REAL PROPERTY</t>
  </si>
  <si>
    <t xml:space="preserve">P15 on each P1,000 (1.5%)</t>
  </si>
  <si>
    <t xml:space="preserve">HOOK: 'Paper for money pays 1.50 per 200; paper for LAND pays 15 per 1,000.' Shares and debt = 0.75%; land deeds = 1.5% (twice as much).</t>
  </si>
  <si>
    <t xml:space="preserve">3. DOCUMENTS SUBJECT TO DST (the list)</t>
  </si>
  <si>
    <t xml:space="preserve">•  Shares of stock (original and subsequent issuance).</t>
  </si>
  <si>
    <t xml:space="preserve">•  Bonds, debentures, certificates of stock or indebtedness issued in foreign countries.</t>
  </si>
  <si>
    <t xml:space="preserve">•  Sales, agreements to sell, memoranda of sales; deliveries or transfers of shares or certificates of stock.</t>
  </si>
  <si>
    <t xml:space="preserve">•  Certificates of profits or interest in property or accumulations.</t>
  </si>
  <si>
    <t xml:space="preserve">•  Bank checks, drafts, certificates of deposit NOT bearing interest, and other instruments.</t>
  </si>
  <si>
    <t xml:space="preserve">•  Debt instruments.</t>
  </si>
  <si>
    <t xml:space="preserve">•  Bills of exchange or drafts; acceptance of bills of exchange; foreign bills of exchange and letters of credit.</t>
  </si>
  <si>
    <t xml:space="preserve">•  Life insurance policies; insurance upon property; fidelity bonds and other insurance policies; policies of annuities and pre-need plans; indemnity bonds.</t>
  </si>
  <si>
    <t xml:space="preserve">•  Warehouse receipts; bills of lading or receipts.</t>
  </si>
  <si>
    <t xml:space="preserve">•  Jai-alai, horse race tickets, lotto or other authorized numbers games.</t>
  </si>
  <si>
    <t xml:space="preserve">•  Proxies; powers of attorney.</t>
  </si>
  <si>
    <t xml:space="preserve">•  Leases and other hiring agreements; mortgages, pledges and deeds of trust.</t>
  </si>
  <si>
    <t xml:space="preserve">•  Deeds of sale and conveyances of real property.</t>
  </si>
  <si>
    <t xml:space="preserve">•  Charter parties and similar instruments; assignments and renewals of certain instruments; certificates.</t>
  </si>
  <si>
    <t xml:space="preserve">4. NOT SUBJECT TO DST (18 exemptions)</t>
  </si>
  <si>
    <t xml:space="preserve">Exempt documents</t>
  </si>
  <si>
    <t xml:space="preserve">Government and public</t>
  </si>
  <si>
    <t xml:space="preserve">Certificates of oaths administered to government officials in their official capacity. Papers filed in court by or for the national, provincial or municipal governments. Affidavits to prove poverty. Statements and compulsory information required of persons exclusively for statistical purposes and for government use. Certificates of assessed value of lands of P200 or less. Contracts, deeds, documents and transactions related to the conduct of business of the BSP.</t>
  </si>
  <si>
    <t xml:space="preserve">Insurance and mutual groups</t>
  </si>
  <si>
    <t xml:space="preserve">Policies of insurance or annuities made by a fraternal or beneficiary society operated on the lodge system or local cooperation plan.</t>
  </si>
  <si>
    <t xml:space="preserve">Small and personal loans</t>
  </si>
  <si>
    <t xml:space="preserve">Loan agreements of P250,000 or less executed by an INDIVIDUAL for the purchase of a house and lot, motor vehicle, appliance or furniture for PERSONAL use.</t>
  </si>
  <si>
    <t xml:space="preserve">Stock market and securities</t>
  </si>
  <si>
    <t xml:space="preserve">Sale, barter or exchange of shares LISTED and TRADED through the local stock exchange. Borrowing and lending of securities under the Securities Borrowing and Lending Program (SBL) of a registered exchange. FIXED INCOME and other securities traded in the secondary market or through an exchange. DERIVATIVES.</t>
  </si>
  <si>
    <t xml:space="preserve">Transfers within the same entity</t>
  </si>
  <si>
    <t xml:space="preserve">Interbranch or interdepartmental advances within the same legal entity. Assignment or transfer of mortgages, leases or insurance policies if there is no change in the maturity date. Transfer of property pursuant to tax-free exchanges.</t>
  </si>
  <si>
    <t xml:space="preserve">Others</t>
  </si>
  <si>
    <t xml:space="preserve">Forbearances arising from sales or service contracts. Bank deposit accounts without a fixed term. Interbranch call loans with a maturity of 7 days or less to cover reserve deficiency (including those between or among banks and quasi-banks).</t>
  </si>
  <si>
    <t xml:space="preserve">1.  DST is on the DOCUMENT. Whoever makes, signs, issues, accepts or transfers it is liable.</t>
  </si>
  <si>
    <t xml:space="preserve">2.  Shares (original issue) and debt instruments: 0.75% (P1.50 per P200).</t>
  </si>
  <si>
    <t xml:space="preserve">3.  Real property deeds: 1.5% (P15 per P1,000).</t>
  </si>
  <si>
    <t xml:space="preserve">4.  Subsequent no-par share issuance: 50% of the DST paid on the original issuance.</t>
  </si>
  <si>
    <t xml:space="preserve">5.  Exempt: listed shares traded on the exchange, secondary market fixed income, derivatives, personal loans of P250,000 or less.</t>
  </si>
  <si>
    <t xml:space="preserve">LOCAL TAXES (Local Government Code, RA 7160)</t>
  </si>
  <si>
    <t xml:space="preserve">THE BIG IDEA (read this first): Local governments (provinces, cities, municipalities, barangays) can tax, but ONLY on what the Local Government Code allows. The questions ask: WHICH level of LGU can tax this, and HOW MUCH is the cap?</t>
  </si>
  <si>
    <t xml:space="preserve">1. FUNDAMENTAL PRINCIPLES OF LOCAL TAXATION</t>
  </si>
  <si>
    <t xml:space="preserve">•  Taxation shall be UNIFORM in each LGU.</t>
  </si>
  <si>
    <t xml:space="preserve">•  Taxes, fees, charges and other impositions shall: (a) be EQUITABLE and based as far as practicable on the taxpayer's ABILITY TO PAY; (b) be levied and collected only for PUBLIC purposes; (c) NOT be unjust, excessive, oppressive or confiscatory; (d) NOT be contrary to law, public policy, national economic policy, or in restraint of trade.</t>
  </si>
  <si>
    <t xml:space="preserve">•  The COLLECTION of local taxes, fees, charges and other impositions shall in NO case be let to any PRIVATE person.</t>
  </si>
  <si>
    <t xml:space="preserve">•  The revenue collected shall INURE SOLELY to the benefit of, and be subject to the disposition by, the LGU levying the tax (unless specifically provided otherwise).</t>
  </si>
  <si>
    <t xml:space="preserve">•  Each LGU shall, as far as practicable, evolve a PROGRESSIVE system of taxation.</t>
  </si>
  <si>
    <t xml:space="preserve">HOOK: 'U-E-P-N-P': Uniform, Equitable, Public purpose, Not oppressive, Progressive. And the golden rule: NEVER let a private person collect local taxes.</t>
  </si>
  <si>
    <t xml:space="preserve">2. REAL PROPERTY TAX (RPT) - principles</t>
  </si>
  <si>
    <t xml:space="preserve">•  Real property shall be APPRAISED at its CURRENT and FAIR MARKET VALUE.</t>
  </si>
  <si>
    <t xml:space="preserve">•  Real property shall be CLASSIFIED for assessment on the basis of ACTUAL USE.</t>
  </si>
  <si>
    <t xml:space="preserve">•  Real property shall be ASSESSED on the basis of UNIFORM classification within each LGU.</t>
  </si>
  <si>
    <t xml:space="preserve">•  The appraisal, assessment, levy and collection shall NOT be delegated to any private person.</t>
  </si>
  <si>
    <t xml:space="preserve">•  Appraisal and assessment shall be EQUITABLE.</t>
  </si>
  <si>
    <t xml:space="preserve">ADDED BY ME (not in your original; double-check): RPT RATES (not in your original): Provinces and cities/municipalities may levy a basic RPT not exceeding 1% (provinces) or 2% (cities and municipalities within Metro Manila) of assessed value. Plus an additional 1% Special Education Fund (SEF). Idle lands may be taxed up to 5% additional. Assessed value = Fair market value x assessment level. Verify these in your review materials.</t>
  </si>
  <si>
    <t xml:space="preserve">3. ASSESSMENT LEVELS</t>
  </si>
  <si>
    <t xml:space="preserve">LANDS: Class</t>
  </si>
  <si>
    <t xml:space="preserve">Assessment level</t>
  </si>
  <si>
    <t xml:space="preserve">Residential</t>
  </si>
  <si>
    <t xml:space="preserve">R</t>
  </si>
  <si>
    <t xml:space="preserve">Agricultural</t>
  </si>
  <si>
    <t xml:space="preserve">A</t>
  </si>
  <si>
    <t xml:space="preserve">Commercial</t>
  </si>
  <si>
    <t xml:space="preserve">Industrial</t>
  </si>
  <si>
    <t xml:space="preserve">Mineral</t>
  </si>
  <si>
    <t xml:space="preserve">M</t>
  </si>
  <si>
    <t xml:space="preserve">Timberland</t>
  </si>
  <si>
    <t xml:space="preserve">T</t>
  </si>
  <si>
    <t xml:space="preserve">HOOK: Land: 'R-A-C-I-M-T = 20, 40, 50, 50, 50, 20.' Three 50s in a row in the middle.</t>
  </si>
  <si>
    <t xml:space="preserve">BUILDINGS: Residential FMV over</t>
  </si>
  <si>
    <t xml:space="preserve">Not over</t>
  </si>
  <si>
    <t xml:space="preserve">P0</t>
  </si>
  <si>
    <t xml:space="preserve">P175,000</t>
  </si>
  <si>
    <t xml:space="preserve">P300,000</t>
  </si>
  <si>
    <t xml:space="preserve">P500,000</t>
  </si>
  <si>
    <t xml:space="preserve">P750,000</t>
  </si>
  <si>
    <t xml:space="preserve">P1,000,000</t>
  </si>
  <si>
    <t xml:space="preserve">P10,000,000</t>
  </si>
  <si>
    <t xml:space="preserve">Over P10,000,000</t>
  </si>
  <si>
    <t xml:space="preserve">BUILDINGS: Agricultural FMV over</t>
  </si>
  <si>
    <t xml:space="preserve">45%</t>
  </si>
  <si>
    <t xml:space="preserve">Over P2,000,000</t>
  </si>
  <si>
    <t xml:space="preserve">BUILDINGS: Commercial / Industrial FMV over</t>
  </si>
  <si>
    <t xml:space="preserve">70%</t>
  </si>
  <si>
    <t xml:space="preserve">75%</t>
  </si>
  <si>
    <t xml:space="preserve">BUILDINGS: Timberland FMV over</t>
  </si>
  <si>
    <t xml:space="preserve">55%</t>
  </si>
  <si>
    <t xml:space="preserve">65%</t>
  </si>
  <si>
    <t xml:space="preserve">HOOK: Building tables climb by small steps. Don't memorize every row: learn the START and END of each. Residential 0% to 60%; Agricultural 25% to 50%; Commercial/Industrial 30% to 80%; Timberland 45% to 70%.</t>
  </si>
  <si>
    <t xml:space="preserve">MACHINERIES: Class</t>
  </si>
  <si>
    <t xml:space="preserve">SPECIAL CLASSES (all buildings, machineries and improvements)</t>
  </si>
  <si>
    <t xml:space="preserve">Cultural</t>
  </si>
  <si>
    <t xml:space="preserve">Scientific</t>
  </si>
  <si>
    <t xml:space="preserve">Hospital</t>
  </si>
  <si>
    <t xml:space="preserve">Local water districts</t>
  </si>
  <si>
    <t xml:space="preserve">GOCC engaged in the supply and distribution of water and/or generation and transmission of electric power</t>
  </si>
  <si>
    <t xml:space="preserve">4. EXEMPT FROM REAL PROPERTY TAX</t>
  </si>
  <si>
    <t xml:space="preserve">•  Government-owned real property.</t>
  </si>
  <si>
    <t xml:space="preserve">•  Real property EXCLUSIVELY used for religious, charitable or educational purposes.</t>
  </si>
  <si>
    <t xml:space="preserve">•  Real property of registered cooperatives.</t>
  </si>
  <si>
    <t xml:space="preserve">•  Machineries and equipment actually, directly and exclusively used by local water districts and GOCCs engaged in the supply and distribution of water and/or generation and transmission of electric power.</t>
  </si>
  <si>
    <t xml:space="preserve">•  Machineries and equipment used for pollution control and environmental protection.</t>
  </si>
  <si>
    <t xml:space="preserve">5. LOCAL BUSINESS AND OTHER TAXES - WHO CAN LEVY WHAT</t>
  </si>
  <si>
    <t xml:space="preserve">Rate / cap</t>
  </si>
  <si>
    <t xml:space="preserve">Provinces (and cities)</t>
  </si>
  <si>
    <t xml:space="preserve">50% of 1% of the total consideration or FMV, whichever is HIGHER</t>
  </si>
  <si>
    <t xml:space="preserve">50% of 1% of the gross annual receipts</t>
  </si>
  <si>
    <t xml:space="preserve">Provinces (cities sharing rules apply; barangays get a share)</t>
  </si>
  <si>
    <t xml:space="preserve">10% of the fair market value in the locality per cubic meter</t>
  </si>
  <si>
    <t xml:space="preserve">The amount and classification the Sangguniang Panlalawigan determines, but NOT more than P300</t>
  </si>
  <si>
    <t xml:space="preserve">10% of gross receipts from admission fees (was 30% before RA 9640)</t>
  </si>
  <si>
    <t xml:space="preserve">Not exceeding P500</t>
  </si>
  <si>
    <t xml:space="preserve">Municipalities, cities and barangays (collected)</t>
  </si>
  <si>
    <t xml:space="preserve">See Section 7</t>
  </si>
  <si>
    <t xml:space="preserve">HOOK: Cities may levy the same taxes that provinces and municipalities may levy. The 'half of one percent' trio: Property TRANSFER tax, PRINTING and publication, FRANCHISE tax. All are 50% of 1%.</t>
  </si>
  <si>
    <t xml:space="preserve">6. SAMPLE FEES AND CHARGES (not taxes)</t>
  </si>
  <si>
    <t xml:space="preserve">Building permit, bus terminals, cockpits, court fees, electrical permit, fire certification, firearms permit, garbage collection, mayor's permit, parking fees, sanitary permit, terminal fees, tax clearance, towing charges, toll fees and charges.</t>
  </si>
  <si>
    <t xml:space="preserve">7. SITUS OF BUSINESS TAX</t>
  </si>
  <si>
    <t xml:space="preserve">Scenario</t>
  </si>
  <si>
    <t xml:space="preserve">Where the business tax is paid</t>
  </si>
  <si>
    <t xml:space="preserve">There is a sales outlet or branch</t>
  </si>
  <si>
    <t xml:space="preserve">The LGU where the outlet or branch is situated</t>
  </si>
  <si>
    <t xml:space="preserve">There is NO sales outlet or branch</t>
  </si>
  <si>
    <t xml:space="preserve">The LGU where the PRINCIPAL office is situated</t>
  </si>
  <si>
    <t xml:space="preserve">Manufacturer's office is the SAME as the factory/plant</t>
  </si>
  <si>
    <t xml:space="preserve">The LGU where the principal office is</t>
  </si>
  <si>
    <t xml:space="preserve">Manufacturer's office is DIFFERENT from the factory/plant</t>
  </si>
  <si>
    <t xml:space="preserve">30% to the LGU where the principal office is; 70% to the LGU where the project office or plant is</t>
  </si>
  <si>
    <t xml:space="preserve">HOOK: Split is 30 / 70: The OFFICE gets 30, the FACTORY gets 70.</t>
  </si>
  <si>
    <t xml:space="preserve">8. COMMUNITY TAX (the 'cedula')</t>
  </si>
  <si>
    <t xml:space="preserve">Required to be PRESENTED every time an individual</t>
  </si>
  <si>
    <t xml:space="preserve">(a) Acknowledges any document before a notary public; (b) takes the oath of office upon election or appointment to any government position; (c) receives any license, certificate or permit from any public authority; (d) receives any money from any public fund.</t>
  </si>
  <si>
    <t xml:space="preserve">INDIVIDUALS who must pay (18 years or older)</t>
  </si>
  <si>
    <t xml:space="preserve">(a) Regularly employed on wage or salary for at least 30 consecutive working days during any calendar year; (b) engaged in business or an occupation; (c) owns real property with an aggregate assessed value of P1,000 or more; (d) required by law to file an income tax return.</t>
  </si>
  <si>
    <t xml:space="preserve">CORPORATIONS who must pay</t>
  </si>
  <si>
    <t xml:space="preserve">Every corporation, however created or organized, domestic or resident foreign, engaged in or doing business in the Philippines.</t>
  </si>
  <si>
    <t xml:space="preserve">EXEMPT from community tax</t>
  </si>
  <si>
    <t xml:space="preserve">(a) Diplomatic and consular representatives. (b) Transient visitors whose stay in the Philippines does not exceed 3 months.</t>
  </si>
  <si>
    <t xml:space="preserve">ADDED BY ME (not in your original; double-check): Community tax amounts: Individuals: basic P5 (+ P1 per P1,000 of business/occupation income or real property assessed value), maximum P5,000. Corporations: basic P500 (+ P2 per P5,000 of real property assessed value and P2 per P5,000 of gross receipts), maximum P10,000. Verify against your review materials.</t>
  </si>
  <si>
    <t xml:space="preserve">1.  Never let a private person collect local taxes.</t>
  </si>
  <si>
    <t xml:space="preserve">2.  Land assessment levels: 20, 40, 50, 50, 50, 20 (R-A-C-I-M-T).</t>
  </si>
  <si>
    <t xml:space="preserve">3.  Property transfer, printing and franchise taxes: each 50% of 1%.</t>
  </si>
  <si>
    <t xml:space="preserve">4.  Professional tax: not more than P300. Delivery vans and trucks: not more than P500.</t>
  </si>
  <si>
    <t xml:space="preserve">5.  Manufacturer with separate plant: 30% to the office LGU, 70% to the plant LGU.</t>
  </si>
  <si>
    <t xml:space="preserve">PREFERENTIAL TAXATION</t>
  </si>
  <si>
    <t xml:space="preserve">THE BIG IDEA (read this first): 'Preferential' means special treatment. The government gives discounts, exemptions or lower rates to certain people (senior citizens, PWDs) and certain businesses (BMBEs, PEZA, BOI, CREATE MORE registered enterprises, and companies under tax treaties).</t>
  </si>
  <si>
    <t xml:space="preserve">1. SENIOR CITIZENS (Expanded Senior Citizens Act of 2010, RA 9994)</t>
  </si>
  <si>
    <t xml:space="preserve">20% DISCOUNT and VAT EXEMPTION on goods and services for their OWN use</t>
  </si>
  <si>
    <t xml:space="preserve">(1) Medicines, essential medical supplies, accessories and equipment, dental services, diagnostic and laboratory fees in private hospitals and clinics. (2) Professional fees of their physicians and healthcare workers. (3) Fares for land (jeepneys, buses, taxis, shuttles, MRT, LRT, PNR), sea vessels and domestic transport. (4) Restaurants, hotels, lodging, recreation centers. (5) Theaters, cinemas, concert halls, circuses, leisure and amusement. (6) Funeral and burial services.</t>
  </si>
  <si>
    <t xml:space="preserve">Utilities</t>
  </si>
  <si>
    <t xml:space="preserve">A minimum of 5% discount on water and electricity bills (up to 100 kWh of electricity and 30 cubic meters of water) registered in their name.</t>
  </si>
  <si>
    <t xml:space="preserve">Income tax</t>
  </si>
  <si>
    <t xml:space="preserve">If the senior citizen is a minimum wage earner (MWE), he or she is exempt from individual income taxes.</t>
  </si>
  <si>
    <t xml:space="preserve">Groceries</t>
  </si>
  <si>
    <t xml:space="preserve">Groceries worth up to P2,500 per week (updated from P1,300) get 5% off retail price of at least four kinds of basic necessities and prime commodities.</t>
  </si>
  <si>
    <t xml:space="preserve">Other benefits</t>
  </si>
  <si>
    <t xml:space="preserve">Mandatory PhilHealth coverage; GSIS, SSS, Pag-IBIG benefits; express lanes and priority status; employment assistance; educational assistance (scholarships, grants, subsidies); training fee exemptions; social safety nets (food, medicine, financial assistance for home repairs); centenarians privilege under RA 10868 (P100,000 cash gift and letter of felicitation from the President); city- or municipality-specific perks; death benefit assistance of a minimum of P2,000 to the nearest surviving relative.</t>
  </si>
  <si>
    <t xml:space="preserve">INDIGENT senior citizens</t>
  </si>
  <si>
    <t xml:space="preserve">Free influenza and pneumococcal vaccine; P500 free grocery allowance released every semester.</t>
  </si>
  <si>
    <t xml:space="preserve">2. PERSONS WITH DISABILITIES (RA 7277 and RA 10754)</t>
  </si>
  <si>
    <t xml:space="preserve">20% DISCOUNT and VAT EXEMPTION on</t>
  </si>
  <si>
    <t xml:space="preserve">(1) Room accommodations in lodging establishments, including student dormitories. (2) Restaurants. (3) Cinemas, theaters, and recreational centers. (4) Medicines and food for special medical purposes. (5) Medical and dental services (professional fees, diagnostic, laboratory). (6) Domestic air and sea fares. (7) Land transportation fares (jeeps, buses, taxis, trains, TNVS/ride-hailing). (8) Funeral and burial services.</t>
  </si>
  <si>
    <t xml:space="preserve">Other</t>
  </si>
  <si>
    <t xml:space="preserve">5% discount on basic necessities and prime commodities; mandatory SSS/GSIS, PhilHealth and Pag-IBIG coverage; educational assistance; express lanes; city-specific PWD benefits.</t>
  </si>
  <si>
    <t xml:space="preserve">DOH-recognized disabilities for a PWD ID</t>
  </si>
  <si>
    <t xml:space="preserve">Psychosocial (bipolar, depression, ADHD, schizophrenia, epilepsy, etc.); disability from chronic illness; learning disability; visual (uncorrectable); orthopedic/musculoskeletal; mental/intellectual; hearing; speech impairment; multiple disabilities.</t>
  </si>
  <si>
    <t xml:space="preserve">HOOK: Seniors and PWDs: '20 and 5.' 20% discount + VAT exemption on the big stuff (medicine, food, transport, hotel, movies, funeral), and 5% on groceries (basic necessities and prime commodities).</t>
  </si>
  <si>
    <t xml:space="preserve">3. BARANGAY MICRO BUSINESS ENTERPRISES (BMBE, RA 9178)</t>
  </si>
  <si>
    <t xml:space="preserve">Incentives</t>
  </si>
  <si>
    <t xml:space="preserve">(a) Income tax exemption</t>
  </si>
  <si>
    <t xml:space="preserve">Income arising from the operations of the enterprise is exempt from income tax.</t>
  </si>
  <si>
    <t xml:space="preserve">(b) Exemption from the Minimum Wage Law</t>
  </si>
  <si>
    <t xml:space="preserve">BMBE employees still get the same social security and health care benefits.</t>
  </si>
  <si>
    <t xml:space="preserve">(c) Priority credit window</t>
  </si>
  <si>
    <t xml:space="preserve">Special credit window by Land Bank (LBP), DBP, Small Business Guarantee and Finance Corporation (SBGFC), and People's Credit and Finance Corporation (PCFC).</t>
  </si>
  <si>
    <t xml:space="preserve">(d) Technology transfer, production and management training, marketing assistance</t>
  </si>
  <si>
    <t xml:space="preserve">(e) LGUs may reduce or exempt BMBEs from local taxes, fees and charges</t>
  </si>
  <si>
    <t xml:space="preserve">The income tax exemption is REVOKED when... (9)</t>
  </si>
  <si>
    <t xml:space="preserve">(a) Transfer of place of business. (b) Total assets exceed P3 MILLION. (c) Voluntary surrender of the Certificate of Authority. (d) Death of the registered individual owner; violation or non-compliance with RA 9178. (e) Merger or consolidation with an entity that is not eligible to be a BMBE. (f) Sale or transfer of the BMBE if it is a sole proprietorship (the transferee may apply for registration). (g) Submission of fake or falsified documents. (h) Retirement from business, or cessation/suspension of operations for ONE year. (i) False or omitted declarations or statements.</t>
  </si>
  <si>
    <t xml:space="preserve">TRAP: BMBE total assets limit of P3 million EXCLUDES land. Remember: 'Three million, no land.'</t>
  </si>
  <si>
    <t xml:space="preserve">4. DOUBLE TAXATION AGREEMENTS (DTA / tax treaties)</t>
  </si>
  <si>
    <t xml:space="preserve">Treaty gives...</t>
  </si>
  <si>
    <t xml:space="preserve">PREFERENTIAL (lower) RATES on</t>
  </si>
  <si>
    <t xml:space="preserve">Dividends, interests, royalties, profits of shipping and air transport in international traffic, remitted branch profits.</t>
  </si>
  <si>
    <t xml:space="preserve">EXEMPTION from the other country's tax on</t>
  </si>
  <si>
    <t xml:space="preserve">Business profits, capital gains, income from employment, income from independent professional services, income of athletes and performers supported by public funds, income from government service, pensions, income of visiting teachers and researchers, allowances and remuneration of visiting students and trainees, other income.</t>
  </si>
  <si>
    <t xml:space="preserve">ADDED BY ME (not in your original; double-check): From the EOPTA note: submission of CORTT forms for treaty relief has been discontinued; only the TTRA (Tax Treaty Relief Application) is required.</t>
  </si>
  <si>
    <t xml:space="preserve">HOOK: Treaties lower the passive-income rates (D-I-R-S-B: Dividends, Interest, Royalties, Shipping/air, Branch profits) and exempt the active/personal-service income.</t>
  </si>
  <si>
    <t xml:space="preserve">5. CREATE MORE: REGISTERED BUSINESS ENTERPRISES (RBEs) - see the CREATE MORE tab</t>
  </si>
  <si>
    <t xml:space="preserve">The RBE incentives for businesses registered with the Fiscal Incentives Review Board (FIRB) and other Investment Promotion Agencies (IPAs) such as PEZA and BOI are on the 'CREATE MORE' tab. Do not read them twice; use that tab.</t>
  </si>
  <si>
    <t xml:space="preserve">6. PEZA (Special Economic Zone Act of 1995, RA 7916)</t>
  </si>
  <si>
    <t xml:space="preserve">Activities eligible for PEZA registration (10)</t>
  </si>
  <si>
    <t xml:space="preserve">Export manufacturing; IT service export; tourism; medical tourism; agro-industrial export manufacturing; agro-industrial bio-fuel manufacturing; logistics and warehousing services; ecozone development/operation; facilities providers; utilities.</t>
  </si>
  <si>
    <t xml:space="preserve">Categories of ecozones (5)</t>
  </si>
  <si>
    <t xml:space="preserve">Manufacturing economic zone; IT parks/centers; agro-industrial economic zone; tourism economic zone; medical tourism parks/centers.</t>
  </si>
  <si>
    <t xml:space="preserve">FISCAL incentives</t>
  </si>
  <si>
    <t xml:space="preserve">(a) Income Tax Holiday (ITH): 100% exemption from corporate income tax. (b) Tax and duty-free importation of raw materials, capital equipment, machineries, spare parts. (c) Exemption from wharfage dues and export tax, impost or fees. (d) VAT zero-rating on local purchases of goods and services (subject to BIR and PEZA compliance). (e) Exemption from all local government imposts, fees, licenses and taxes. (f) Exemption from expanded withholding tax.</t>
  </si>
  <si>
    <t xml:space="preserve">NON-FISCAL incentives</t>
  </si>
  <si>
    <t xml:space="preserve">(a) Simplified import-export procedures. (b) Non-resident foreign nationals may be employed in supervisory, technical or advisory positions. (c) Special non-immigrant visa with multiple entry privileges for non-resident foreign nationals.</t>
  </si>
  <si>
    <t xml:space="preserve">7. BOARD OF INVESTMENTS (BOI) - Omnibus Investments Code of 1987 (EO 226)</t>
  </si>
  <si>
    <t xml:space="preserve">Priority areas - Investment Priorities Plan (IPP)</t>
  </si>
  <si>
    <t xml:space="preserve">(a) PREFERRED activities: Manufacturing (motor vehicles, shipbuilding, aerospace parts, chemicals, virgin paper pulp, copper wires and rods); Agribusiness and fishery (feeds, fertilizers and pesticides, sugar mill modernization, mechanized agriculture services, agricultural support infrastructure); Services (integrated circuit design, creative industries/knowledge-based services, ship repair, EV charging stations, aircraft MRO, industrial waste treatment); Economic and low-cost housing; Hospitals; Energy (exploration and development, power generation plants); Public infrastructure and logistics (airports and seaports, brand new transport equipment, LNG storage and regasification, bulk water treatment and supply); PPP projects. (b) Export activities. (c) Special laws. (d) Autonomous Region (ARMM).</t>
  </si>
  <si>
    <t xml:space="preserve">(a) Income Tax Holidays (ITH). (b) Duty exemption on imported capital equipment, spare parts and accessories. (c) Exemption from wharfage dues and export tax, duty, impost and fees. (d) Tax exemption on breeding stocks and genetic materials. (e) Tax credits on imported raw materials. (f) Tax and duty-free importation of consigned equipment.</t>
  </si>
  <si>
    <t xml:space="preserve">(a) Employment of foreign nationals. (b) Simplified customs procedures for imported products. (c) Importation of consigned equipment. (d) Privilege to operate a bonded manufacturing/trading warehouse.</t>
  </si>
  <si>
    <t xml:space="preserve">1.  Seniors and PWDs: 20% discount plus VAT exemption; 5% on basic necessities and prime commodities.</t>
  </si>
  <si>
    <t xml:space="preserve">2.  BMBE: income tax exempt; revoked if total assets exceed P3 million (no land).</t>
  </si>
  <si>
    <t xml:space="preserve">3.  Treaties lower dividend, interest, royalty, shipping and branch profit rates.</t>
  </si>
  <si>
    <t xml:space="preserve">4.  PEZA: ITH, duty-free imports, VAT zero-rating on local purchases, no local taxes, no EWT.</t>
  </si>
  <si>
    <t xml:space="preserve">5.  BOI: ITH, duty exemption on capital equipment, plus non-fiscal perks like employing foreigners.</t>
  </si>
  <si>
    <t xml:space="preserve">CREATE MORE ACT (Corporate Recovery and Tax Incentives for Enterprises to Maximize Opportunities for Reinvigorating the Economy)</t>
  </si>
  <si>
    <t xml:space="preserve">THE BIG IDEA (read this first): CREATE MORE gives registered businesses (RBEs) a menu of tax perks. Think of it as 3 plates: ITH (a tax holiday: no income tax), then SCIT (5% of gross income, EXPORTERS only) or EDR (20% RCIT with extra deductions). FIRB-approved projects get 10 extra years.</t>
  </si>
  <si>
    <t xml:space="preserve">1. WHO IS COVERED</t>
  </si>
  <si>
    <t xml:space="preserve">Registered Business Enterprises (RBEs) duly registered with the Fiscal Incentives Review Board (FIRB) and other Investment Promotion Agencies (IPAs, such as PEZA and BOI).</t>
  </si>
  <si>
    <t xml:space="preserve">2. THE THREE INCENTIVE 'PLATES'</t>
  </si>
  <si>
    <t xml:space="preserve">Plate</t>
  </si>
  <si>
    <t xml:space="preserve">Who may take it</t>
  </si>
  <si>
    <t xml:space="preserve">ITH - Income Tax Holiday</t>
  </si>
  <si>
    <t xml:space="preserve">Exemption from income tax on the registered project or activity. Available to ALL: both export and domestic market enterprises.</t>
  </si>
  <si>
    <t xml:space="preserve">REE and DME</t>
  </si>
  <si>
    <t xml:space="preserve">SCIT - Special Corporate Income Tax</t>
  </si>
  <si>
    <t xml:space="preserve">5% of GROSS income, in lieu of ALL national and local taxes and local fees and charges. May be granted immediately at the start of commercial operations.</t>
  </si>
  <si>
    <t xml:space="preserve">ONLY registered EXPORT enterprises (REEs)</t>
  </si>
  <si>
    <t xml:space="preserve">EDR - Enhanced Deductions Regime</t>
  </si>
  <si>
    <t xml:space="preserve">Pay the 20% RCIT, but with ADDITIONAL deductions (see Section 4). May be granted immediately at the start of commercial operations.</t>
  </si>
  <si>
    <t xml:space="preserve">Options</t>
  </si>
  <si>
    <t xml:space="preserve">Registered EXPORT enterprise (REE)</t>
  </si>
  <si>
    <t xml:space="preserve">May choose ONE: (1) ITH, followed by SCIT (5% of gross income) or EDR; (2) SCIT right away (in lieu of all national and local taxes); (3) EDR right away (with 20% RCIT).</t>
  </si>
  <si>
    <t xml:space="preserve">Registered DOMESTIC MARKET enterprise (DME)</t>
  </si>
  <si>
    <t xml:space="preserve">May choose EITHER: (1) ITH followed by EDR; (2) EDR right away (with 20% RCIT).</t>
  </si>
  <si>
    <t xml:space="preserve">TRAP: Only REEs (exporters) can take SCIT. A domestic market enterprise gets ITH then EDR, or just EDR.</t>
  </si>
  <si>
    <t xml:space="preserve">3. HOW LONG? (period of availment)</t>
  </si>
  <si>
    <t xml:space="preserve">Option</t>
  </si>
  <si>
    <t xml:space="preserve">Approved by IPA (REE and DME)</t>
  </si>
  <si>
    <t xml:space="preserve">Approved by FIRB (REE and DME)</t>
  </si>
  <si>
    <t xml:space="preserve">Option 1: ITH first</t>
  </si>
  <si>
    <t xml:space="preserve">ITH 4-7 years, then 10 years of SCIT/EDR (REE) or EDR (DME)</t>
  </si>
  <si>
    <t xml:space="preserve">ITH 4-7 years, then 20 years of SCIT/EDR (REE) or EDR (DME)</t>
  </si>
  <si>
    <t xml:space="preserve">Option 2: No ITH</t>
  </si>
  <si>
    <t xml:space="preserve">14-17 years of SCIT/EDR (REE) or EDR (DME)</t>
  </si>
  <si>
    <t xml:space="preserve">24-27 years of SCIT/EDR (REE) or EDR (DME)</t>
  </si>
  <si>
    <t xml:space="preserve">HOOK: IPA: 4-7 + 10, or 14-17. FIRB: 4-7 + 20, or 24-27. FIRB always gives 10 MORE years than IPA. 'ITH 4-7 is always the same.'</t>
  </si>
  <si>
    <t xml:space="preserve">4. EDR: ADDITIONAL DEDUCTIONS</t>
  </si>
  <si>
    <t xml:space="preserve">Depreciation of qualified capital expenditure</t>
  </si>
  <si>
    <t xml:space="preserve">10% for buildings; 20% for machinery and equipment</t>
  </si>
  <si>
    <t xml:space="preserve">Labor expense</t>
  </si>
  <si>
    <t xml:space="preserve">50 group</t>
  </si>
  <si>
    <t xml:space="preserve">100 group</t>
  </si>
  <si>
    <t xml:space="preserve">Training expense</t>
  </si>
  <si>
    <t xml:space="preserve">Domestic input expense</t>
  </si>
  <si>
    <t xml:space="preserve">Power expense</t>
  </si>
  <si>
    <t xml:space="preserve">Exhibitions, trade missions, trade fairs</t>
  </si>
  <si>
    <t xml:space="preserve">Reinvestment allowance for the manufacturing industry</t>
  </si>
  <si>
    <t xml:space="preserve">Carry-over of net operating loss incurred during the first 3 years from start of commercial operations; may be claimed for the next 5 consecutive years immediately following the last year of ITH</t>
  </si>
  <si>
    <t xml:space="preserve">HOOK: '100 for R-T-P': Research, Training, Power. The rest are 50: Labor, Domestic inputs, Exhibitions, Reinvestment (L-D-E-R). Depreciation is 10% buildings / 20% machinery.</t>
  </si>
  <si>
    <t xml:space="preserve">5. OTHER INCENTIVES</t>
  </si>
  <si>
    <t xml:space="preserve">Incentive</t>
  </si>
  <si>
    <t xml:space="preserve">LOCAL TAX of 2%</t>
  </si>
  <si>
    <t xml:space="preserve">2% of GROSS income in lieu of ALL local taxes for RBEs on ITH or EDR. It is NOT imposed on RBEs on SCIT (SCIT already replaces local taxes).</t>
  </si>
  <si>
    <t xml:space="preserve">Import duty exemption, VAT exemption on importation, and VAT zero-rating on local purchases</t>
  </si>
  <si>
    <t xml:space="preserve">(1) Import duty exemption on capital equipment, raw materials, spare parts or accessories; (2) VAT exemption on importation; (3) VAT zero-rating on local purchases. ONLY enjoyed if the export enterprise has at least 70% export sales AND the imported or local goods and services are 'directly attributed' to the registered activity.</t>
  </si>
  <si>
    <t xml:space="preserve">1.  Three plates: ITH (holiday), SCIT (5% of gross, EXPORTERS only), EDR (20% RCIT plus extra deductions).</t>
  </si>
  <si>
    <t xml:space="preserve">2.  ITH is 4 to 7 years. IPA adds 10 years of SCIT/EDR; FIRB adds 20. Skipping ITH: 14-17 (IPA) or 24-27 (FIRB).</t>
  </si>
  <si>
    <t xml:space="preserve">3.  EDR deductions at 100%: R&amp;D, Training, Power. At 50%: Labor, Domestic input, Exhibitions, Reinvestment allowance.</t>
  </si>
  <si>
    <t xml:space="preserve">4.  Local tax 2% of gross income for ITH/EDR; none for SCIT.</t>
  </si>
  <si>
    <t xml:space="preserve">5.  Import and VAT perks need at least 70% export sales and goods 'directly attributable' to the registered activity.</t>
  </si>
  <si>
    <t xml:space="preserve">TAX REMEDIES (powers of the BIR, penalties, and what the taxpayer can do)</t>
  </si>
  <si>
    <t xml:space="preserve">THE BIG IDEA (read this first): Remedies answer: what can the BIR DO to collect (government remedies), what are the PENALTIES for not complying, and what can the TAXPAYER do to fight back (protest, refund). Think of the Commissioner as a judge, investigator, collector and settler all in one.</t>
  </si>
  <si>
    <t xml:space="preserve">1. POWERS OF THE COMMISSIONER OF INTERNAL REVENUE (16) - grouped</t>
  </si>
  <si>
    <t xml:space="preserve">Role</t>
  </si>
  <si>
    <t xml:space="preserve">Powers</t>
  </si>
  <si>
    <t xml:space="preserve">JUDGE (interpret and decide)</t>
  </si>
  <si>
    <t xml:space="preserve">1. Interpret the provisions of the NIRC, subject to review by the Secretary of Finance. 2. Decide tax cases, subject to the exclusive appellate jurisdiction of the Court of Tax Appeals (CTA).</t>
  </si>
  <si>
    <t xml:space="preserve">Finance Secretary reviews rules; CTA reviews cases</t>
  </si>
  <si>
    <t xml:space="preserve">INVESTIGATOR</t>
  </si>
  <si>
    <t xml:space="preserve">3. Obtain information and summon, examine and take testimony of persons to effect tax collection (subpoena). 5. Examine tax returns and determine the tax due. 6. Conduct inventory taking or surveillance. 11. Inquire into bank deposits, ONLY (a) to determine the gross estate of a decedent, or (b) to substantiate the taxpayer's claim of financial incapacity to pay in a tax compromise.</t>
  </si>
  <si>
    <t xml:space="preserve">Bank secrecy: only 2 exceptions</t>
  </si>
  <si>
    <t xml:space="preserve">ESTIMATOR</t>
  </si>
  <si>
    <t xml:space="preserve">7. Prescribe PRESUMPTIVE gross sales and receipts when (a) the taxpayer failed to issue receipts, or (b) the books or records do not correctly reflect the return. 8. TERMINATE the tax period when the taxpayer is (a) retiring from business, (b) intending to leave the Philippines, (c) intending to remove, hide or conceal property, or (d) intending to do any act tending to obstruct collection. 9. Prescribe real property values (zonal values).</t>
  </si>
  <si>
    <t xml:space="preserve">Estimate + terminate</t>
  </si>
  <si>
    <t xml:space="preserve">ASSESSOR</t>
  </si>
  <si>
    <t xml:space="preserve">4. Make assessments and prescribe additional requirements for tax administration and enforcement. 15. Prescribe additional procedures or documentary requirements.</t>
  </si>
  <si>
    <t xml:space="preserve">Assess</t>
  </si>
  <si>
    <t xml:space="preserve">SETTLER</t>
  </si>
  <si>
    <t xml:space="preserve">10. COMPROMISE tax liabilities. 13. REFUND or credit internal revenue taxes. 14. ABATE or cancel tax liabilities in certain cases.</t>
  </si>
  <si>
    <t xml:space="preserve">Compromise, Refund, Abate</t>
  </si>
  <si>
    <t xml:space="preserve">ADMINISTRATOR</t>
  </si>
  <si>
    <t xml:space="preserve">12. Accredit and register tax agents. 16. DELEGATE his powers to any subordinate officer with a rank equivalent to a DIVISION CHIEF or higher (a few powers cannot be delegated).</t>
  </si>
  <si>
    <t xml:space="preserve">Division chief</t>
  </si>
  <si>
    <t xml:space="preserve">HOOK: Terminating the tax period (and constructive distraint): 'R-L-R-O' = Retiring, Leaving the country, Removing or hiding property, Obstructing collection.</t>
  </si>
  <si>
    <t xml:space="preserve">2. THE ASSESSMENT PROCESS (the usual order)</t>
  </si>
  <si>
    <t xml:space="preserve">What happens</t>
  </si>
  <si>
    <t xml:space="preserve">Deadline</t>
  </si>
  <si>
    <t xml:space="preserve">1. Letter of Authority (LOA)</t>
  </si>
  <si>
    <t xml:space="preserve">The BIR authorizes an audit.</t>
  </si>
  <si>
    <t xml:space="preserve">2. Preliminary Assessment Notice (PAN)</t>
  </si>
  <si>
    <t xml:space="preserve">BIR tells you the proposed deficiency.</t>
  </si>
  <si>
    <t xml:space="preserve">Taxpayer replies within 15 days</t>
  </si>
  <si>
    <t xml:space="preserve">3. Final Assessment Notice (FAN) with Formal Letter of Demand</t>
  </si>
  <si>
    <t xml:space="preserve">The formal assessment.</t>
  </si>
  <si>
    <t xml:space="preserve">Taxpayer files a PROTEST within 30 days from receipt</t>
  </si>
  <si>
    <t xml:space="preserve">4. Submit supporting documents</t>
  </si>
  <si>
    <t xml:space="preserve">After a protest on the facts.</t>
  </si>
  <si>
    <t xml:space="preserve">Within 60 days from filing the protest</t>
  </si>
  <si>
    <t xml:space="preserve">5. Commissioner's decision</t>
  </si>
  <si>
    <t xml:space="preserve">Final Decision on Disputed Assessment (FDDA).</t>
  </si>
  <si>
    <t xml:space="preserve">Within 180 days from submission of documents</t>
  </si>
  <si>
    <t xml:space="preserve">6. Appeal to the Court of Tax Appeals</t>
  </si>
  <si>
    <t xml:space="preserve">If denied or no action.</t>
  </si>
  <si>
    <t xml:space="preserve">Within 30 days from receipt of the decision, or from the lapse of the 180 days</t>
  </si>
  <si>
    <t xml:space="preserve">ADDED BY ME (not in your original; double-check): The assessment steps and deadlines above are standard CPALE material but are NOT in your original sheet. Verify them with your review center.</t>
  </si>
  <si>
    <t xml:space="preserve">3. PRELIMINARY ASSESSMENT NOTICE (PAN) is NOT required when (5)</t>
  </si>
  <si>
    <t xml:space="preserve">Case</t>
  </si>
  <si>
    <t xml:space="preserve">a</t>
  </si>
  <si>
    <t xml:space="preserve">The deficiency is the result of a MATHEMATICAL ERROR in the computation of tax appearing on the face of the return.</t>
  </si>
  <si>
    <t xml:space="preserve">Math error</t>
  </si>
  <si>
    <t xml:space="preserve">b</t>
  </si>
  <si>
    <t xml:space="preserve">A discrepancy is found between the tax WITHHELD and the amount actually REMITTED by the withholding agent.</t>
  </si>
  <si>
    <t xml:space="preserve">Withheld vs remitted</t>
  </si>
  <si>
    <t xml:space="preserve">c</t>
  </si>
  <si>
    <t xml:space="preserve">A taxpayer who opted to claim a refund or tax credit of excess creditable withholding tax carried over and automatically applied the same amount against estimated tax liabilities of the succeeding year.</t>
  </si>
  <si>
    <t xml:space="preserve">Double-dipping on excess CWT</t>
  </si>
  <si>
    <t xml:space="preserve">d</t>
  </si>
  <si>
    <t xml:space="preserve">The EXCISE tax due on excisable articles has NOT been paid.</t>
  </si>
  <si>
    <t xml:space="preserve">Unpaid excise</t>
  </si>
  <si>
    <t xml:space="preserve">e</t>
  </si>
  <si>
    <t xml:space="preserve">An article locally purchased or imported by an EXEMPT person has been sold, traded or transferred to NON-EXEMPT persons.</t>
  </si>
  <si>
    <t xml:space="preserve">Exempt person resells</t>
  </si>
  <si>
    <t xml:space="preserve">HOOK: 'M-W-C-E-E': Math error, Withheld/remitted mismatch, Credited excess CWT, Excise unpaid, Exempt person resells.</t>
  </si>
  <si>
    <t xml:space="preserve">4. SUSPENSION OF THE PRESCRIPTIVE PERIOD FOR ASSESSMENT (the clock stops)</t>
  </si>
  <si>
    <t xml:space="preserve">When the running of the period is suspended</t>
  </si>
  <si>
    <t xml:space="preserve">The taxpayer's request for REINVESTIGATION is granted.</t>
  </si>
  <si>
    <t xml:space="preserve">The taxpayer cannot be LOCATED at the address given in the return.</t>
  </si>
  <si>
    <t xml:space="preserve">NO property of the taxpayer can be located.</t>
  </si>
  <si>
    <t xml:space="preserve">The taxpayer is OUT OF THE COUNTRY.</t>
  </si>
  <si>
    <t xml:space="preserve">ADDED BY ME (not in your original; double-check): PRESCRIPTION (not in your original): The BIR must ASSESS within 3 YEARS after the last day prescribed for filing the return (or the actual filing date, if later). If the return is FALSE or FRAUDULENT, or no return is filed: within 10 YEARS from discovery. COLLECTION by court action or distraint: within 5 YEARS from the assessment (10 years from discovery in fraud or false return). Verify.</t>
  </si>
  <si>
    <t xml:space="preserve">5. CONSTRUCTIVE DISTRAINT - allowed when the taxpayer (4)</t>
  </si>
  <si>
    <t xml:space="preserve">•  Is RETIRING from any business subject to tax.</t>
  </si>
  <si>
    <t xml:space="preserve">•  INTENDS to leave the Philippines.</t>
  </si>
  <si>
    <t xml:space="preserve">•  REMOVES his property from the Philippines.</t>
  </si>
  <si>
    <t xml:space="preserve">•  Performs any act tending to OBSTRUCT the proceeding for collecting the tax due or which may be due from him.</t>
  </si>
  <si>
    <t xml:space="preserve">6. CIVIL PENALTIES</t>
  </si>
  <si>
    <t xml:space="preserve">When it applies</t>
  </si>
  <si>
    <t xml:space="preserve">1. Failure to FILE any return AND pay the tax due on time. 2. Failure to pay the DEFICIENCY tax within the time prescribed in the notice of assessment. 3. Failure to pay the full or part of the tax shown on any return, or the full amount of tax due for which no return is required.</t>
  </si>
  <si>
    <t xml:space="preserve">1. WILLFUL NEGLECT to file the return on time. 2. A FALSE or FRAUDULENT return is willfully made.</t>
  </si>
  <si>
    <t xml:space="preserve">On deficiency and delinquency</t>
  </si>
  <si>
    <t xml:space="preserve">12% per annum</t>
  </si>
  <si>
    <t xml:space="preserve">10% basic surcharge (was 25%)</t>
  </si>
  <si>
    <t xml:space="preserve">HOOK: 'Quarter and Half': 25% is the usual surcharge, 50% is for willful and fraud. Small guys get a break: 10% surcharge and 6% interest.</t>
  </si>
  <si>
    <t xml:space="preserve">ADDED BY ME (not in your original; double-check): Also compromise penalty (a fixed amount in a schedule, not in your original sheet) and criminal penalties exist. Learn them from your review center if tested.</t>
  </si>
  <si>
    <t xml:space="preserve">7. WHAT EOPTA CHANGED IN REMEDIES</t>
  </si>
  <si>
    <t xml:space="preserve">Before</t>
  </si>
  <si>
    <t xml:space="preserve">Now</t>
  </si>
  <si>
    <t xml:space="preserve">Filing a return in the WRONG RDO (venue)</t>
  </si>
  <si>
    <t xml:space="preserve">25% surcharge</t>
  </si>
  <si>
    <t xml:space="preserve">NO surcharge</t>
  </si>
  <si>
    <t xml:space="preserve">Special relief for MICRO and SMALL taxpayers: basic surcharge</t>
  </si>
  <si>
    <t xml:space="preserve">Same: interest on deficiency and delinquency</t>
  </si>
  <si>
    <t xml:space="preserve">Refund: time for the BIR to act</t>
  </si>
  <si>
    <t xml:space="preserve">No period</t>
  </si>
  <si>
    <t xml:space="preserve">180 days from submission of documents</t>
  </si>
  <si>
    <t xml:space="preserve">Refund: appeal to the CTA</t>
  </si>
  <si>
    <t xml:space="preserve">Within 2 years from the date of payment</t>
  </si>
  <si>
    <t xml:space="preserve">The 2-year period was removed in your note; appeal within 30 days from receipt of denial or lapse of the 180 days</t>
  </si>
  <si>
    <t xml:space="preserve">Preservation of books of accounts and records</t>
  </si>
  <si>
    <t xml:space="preserve">10 years</t>
  </si>
  <si>
    <t xml:space="preserve">TRAP: Re the refund row: your source says the '2-year period has been removed'. On the board exam, expect the answer to match your review center. The safe memory: BIR has 180 days to act; the taxpayer then has 30 days to go to the CTA.</t>
  </si>
  <si>
    <t xml:space="preserve">1.  Surcharge: 25% usual, 50% willful/fraud. Interest 12% (6% for micro/small).</t>
  </si>
  <si>
    <t xml:space="preserve">2.  PAN is not needed for: math error, withheld vs remitted mismatch, excess CWT carry-over, unpaid excise, exempt person's resale.</t>
  </si>
  <si>
    <t xml:space="preserve">3.  Constructive distraint and termination of tax period: Retiring, Leaving, Removing property, Obstructing.</t>
  </si>
  <si>
    <t xml:space="preserve">4.  Prescription clock stops: reinvestigation, taxpayer not found, no property found, taxpayer abroad.</t>
  </si>
  <si>
    <t xml:space="preserve">5.  Refund (EOPTA): BIR acts within 180 days; CTA appeal within 30 days. Books kept 5 years.</t>
  </si>
  <si>
    <t xml:space="preserve">TAX FILING (who files, where, when)</t>
  </si>
  <si>
    <t xml:space="preserve">THE BIG IDEA (read this first): Filing questions are the easiest points on the exam if you memorize the calendar: May-Aug-Nov 15, April 15, 15th day of the 4th month, Jan 31, 30 days, 1 year, 25th day.</t>
  </si>
  <si>
    <t xml:space="preserve">1. WHO MUST FILE AN INCOME TAX RETURN?</t>
  </si>
  <si>
    <t xml:space="preserve">Every Filipino citizen residing in the Philippines (RC)</t>
  </si>
  <si>
    <t xml:space="preserve">Worldwide</t>
  </si>
  <si>
    <t xml:space="preserve">Every Filipino citizen residing outside the Philippines on his income from sources within the Philippines (NRC)</t>
  </si>
  <si>
    <t xml:space="preserve">PH source</t>
  </si>
  <si>
    <t xml:space="preserve">Every alien residing in the Philippines on income from sources within the Philippines (RA)</t>
  </si>
  <si>
    <t xml:space="preserve">Every non-resident alien engaged in trade or business or the exercise of a profession in the Philippines (NRA-ETB)</t>
  </si>
  <si>
    <t xml:space="preserve">2. WHO IS NOT REQUIRED TO FILE?</t>
  </si>
  <si>
    <t xml:space="preserve">Taxable income does not exceed P250,000</t>
  </si>
  <si>
    <t xml:space="preserve">Below the free zone</t>
  </si>
  <si>
    <t xml:space="preserve">Purely COMPENSATION income, regardless of amount, from only ONE employer in the Philippines for the calendar year, with tax correctly withheld (substituted filing)</t>
  </si>
  <si>
    <t xml:space="preserve">One employer, correct withholding</t>
  </si>
  <si>
    <t xml:space="preserve">Sole income has been subjected to FINAL withholding tax</t>
  </si>
  <si>
    <t xml:space="preserve">Final tax</t>
  </si>
  <si>
    <t xml:space="preserve">Minimum wage earner (MWE)</t>
  </si>
  <si>
    <t xml:space="preserve">MWE</t>
  </si>
  <si>
    <t xml:space="preserve">3. WHERE TO FILE</t>
  </si>
  <si>
    <t xml:space="preserve">•  An authorized agent bank (AAB), OR</t>
  </si>
  <si>
    <t xml:space="preserve">•  The Revenue District Officer, Collection Agent, or authorized Treasurer of the city or municipality where the person has his LEGAL RESIDENCE or PRINCIPAL PLACE OF BUSINESS in the Philippines, OR</t>
  </si>
  <si>
    <t xml:space="preserve">•  If there is no legal residence or place of business in the Philippines, with the OFFICE OF THE COMMISSIONER.</t>
  </si>
  <si>
    <t xml:space="preserve">4. THE BIR FORMS AND DEADLINES</t>
  </si>
  <si>
    <t xml:space="preserve">Form</t>
  </si>
  <si>
    <t xml:space="preserve">Title</t>
  </si>
  <si>
    <t xml:space="preserve">1701Q</t>
  </si>
  <si>
    <t xml:space="preserve">Quarterly Income Tax Return for Individuals, Estates and Trusts</t>
  </si>
  <si>
    <t xml:space="preserve">May 15, August 15, and November 15 of the current taxable year</t>
  </si>
  <si>
    <t xml:space="preserve">1701</t>
  </si>
  <si>
    <t xml:space="preserve">Annual Income Tax Return for Individuals (including MIXED income earners), Estates and Trusts</t>
  </si>
  <si>
    <t xml:space="preserve">April 15 of each year, for the preceding taxable year</t>
  </si>
  <si>
    <t xml:space="preserve">1702</t>
  </si>
  <si>
    <t xml:space="preserve">Annual Income Tax Return for Corporations, Partnerships and other non-individuals (subject only to REGULAR income tax rate)</t>
  </si>
  <si>
    <t xml:space="preserve">15th day of the 4th month following the close of the taxable year</t>
  </si>
  <si>
    <t xml:space="preserve">2316</t>
  </si>
  <si>
    <t xml:space="preserve">Certificate of Compensation Payment / Tax Withheld</t>
  </si>
  <si>
    <t xml:space="preserve">January 31 of the succeeding year</t>
  </si>
  <si>
    <t xml:space="preserve">1800</t>
  </si>
  <si>
    <t xml:space="preserve">Donor's Tax Return</t>
  </si>
  <si>
    <t xml:space="preserve">Within 30 days after the gift (donation) is made</t>
  </si>
  <si>
    <t xml:space="preserve">1801</t>
  </si>
  <si>
    <t xml:space="preserve">Estate Tax Return</t>
  </si>
  <si>
    <t xml:space="preserve">Within 1 year from the decedent's death</t>
  </si>
  <si>
    <t xml:space="preserve">2550Q</t>
  </si>
  <si>
    <t xml:space="preserve">Quarterly VAT Return (mandatory)</t>
  </si>
  <si>
    <t xml:space="preserve">Not later than the 25th day following the close of each taxable quarter</t>
  </si>
  <si>
    <t xml:space="preserve">2550M</t>
  </si>
  <si>
    <t xml:space="preserve">Monthly VAT Declaration (OPTIONAL in your original)</t>
  </si>
  <si>
    <t xml:space="preserve">20th day following the close of the month. NOTE: your EOPTA tab says VAT filing is now QUARTERLY ONLY. See CHECK THESE tab.</t>
  </si>
  <si>
    <t xml:space="preserve">HOOK: '1701 = April. 1701Q = May, Aug, Nov (the 15th). 1702 = 15th day of the 4th month. 2316 = Jan 31. 1800 = 30 days. 1801 = 1 year. 2550Q = 25th.' Numbers on the form match order: 1701 (person), 1702 (company), 1800 (donor, 'eighteen-hundred'), 1801 (estate, 'eighteen-oh-one').</t>
  </si>
  <si>
    <t xml:space="preserve">5. WORKED EXAMPLES FROM YOUR ORIGINAL (corrected and explained)</t>
  </si>
  <si>
    <t xml:space="preserve">ADDED BY ME (not in your original; double-check): 1. MIXED INCOME EARNER (employee + business). Compensation P1,200,000 + 13th month P130,000 = P1,330,000. Less P90,000 exempt = P1,240,000 taxable compensation. Tax (2023 table) = 102,500 + 25% x (1,240,000 - 800,000) = 102,500 + 110,000 = P212,500. Business: gross sales P2,500,000 x 8% = P200,000 (a MIXED income earner cannot deduct the P250,000). Total basic income tax = P412,500. Less tax withheld P262,000 = tax payable P150,500. (Your original used the OLD 2018-2022 table and arrived at P462,000 total and P200,000 payable. See CHECK THESE.)</t>
  </si>
  <si>
    <t xml:space="preserve">2. CORPORATION (RCIT vs MCIT)</t>
  </si>
  <si>
    <t xml:space="preserve">Gross sales P10,000,000 less cost of sales P6,000,000 = GROSS INCOME</t>
  </si>
  <si>
    <t xml:space="preserve">P4,000,000</t>
  </si>
  <si>
    <t xml:space="preserve">Less allowable deductions (salaries 1.2M + rentals 0.5M + depreciation 0.2M + bad debts 0.05M + interest 0.05M)</t>
  </si>
  <si>
    <t xml:space="preserve">TAXABLE INCOME</t>
  </si>
  <si>
    <t xml:space="preserve">RCIT = 25% x 2,000,000</t>
  </si>
  <si>
    <t xml:space="preserve">MCIT = 2% x GROSS income 4,000,000</t>
  </si>
  <si>
    <t xml:space="preserve">P80,000</t>
  </si>
  <si>
    <t xml:space="preserve">TAX DUE = the HIGHER of RCIT and MCIT</t>
  </si>
  <si>
    <t xml:space="preserve">P500,000 (RCIT)</t>
  </si>
  <si>
    <t xml:space="preserve">3. ESTATE TAX</t>
  </si>
  <si>
    <t xml:space="preserve">Gross estate: exclusive P19M + conjugal P26M</t>
  </si>
  <si>
    <t xml:space="preserve">P45,000,000</t>
  </si>
  <si>
    <t xml:space="preserve">Less ordinary deductions: P1M + P3M</t>
  </si>
  <si>
    <t xml:space="preserve">Gross estate after ordinary deductions: P18M + P23M</t>
  </si>
  <si>
    <t xml:space="preserve">P41,000,000</t>
  </si>
  <si>
    <t xml:space="preserve">Special deductions: standard P5M + family home P10M + spouse's share P11.5M</t>
  </si>
  <si>
    <t xml:space="preserve">P26,500,000</t>
  </si>
  <si>
    <t xml:space="preserve">P14,500,000</t>
  </si>
  <si>
    <t xml:space="preserve">Estate tax = 6% x 14,500,000</t>
  </si>
  <si>
    <t xml:space="preserve">P870,000</t>
  </si>
  <si>
    <t xml:space="preserve">4. VAT (Q1 return, from your original)</t>
  </si>
  <si>
    <t xml:space="preserve">Vatable sales P1,000,000; exempt P500,000; to government P300,000; export (zero-rated) P200,000; total P2,000,000</t>
  </si>
  <si>
    <t xml:space="preserve">Total sales P2,000,000</t>
  </si>
  <si>
    <t xml:space="preserve">Purchases from VAT suppliers: P500,000 (private) + P150,000 (exempt) + P100,000 (government) + P50,000 (export) = P800,000</t>
  </si>
  <si>
    <t xml:space="preserve">Total purchases P800,000</t>
  </si>
  <si>
    <t xml:space="preserve">Purchase of depreciable capital goods P3,000,000, 7-year life</t>
  </si>
  <si>
    <t xml:space="preserve">Input VAT P360,000 (12%); amortized over 60 months (5 years or useful life, whichever is shorter): 360,000 / 60 x 3 months = P18,000 for the quarter</t>
  </si>
  <si>
    <t xml:space="preserve">Excess input tax credit from previous quarter P10,000; monthly VAT payments for the previous 2 months P30,000</t>
  </si>
  <si>
    <t xml:space="preserve">Credits against the quarter's VAT payable</t>
  </si>
  <si>
    <t xml:space="preserve">ADDED BY ME (not in your original; double-check): The original sheet cut off before the final VAT answer. The CALCULATORS tab has a working VAT calculator you can plug these numbers into.</t>
  </si>
  <si>
    <t xml:space="preserve">1.  No return needed: income of P250,000 or less, one-employer compensation with correct withholding, final-tax-only income, MWEs.</t>
  </si>
  <si>
    <t xml:space="preserve">2.  1701Q: May 15, Aug 15, Nov 15. 1701: April 15. 1702: 15th day of the 4th month after year-end.</t>
  </si>
  <si>
    <t xml:space="preserve">3.  2316: Jan 31. Donor's (1800): 30 days. Estate (1801): 1 year. VAT (2550Q): 25th day after quarter-end.</t>
  </si>
  <si>
    <t xml:space="preserve">4.  Where to file: AAB, or the RDO where your residence or principal place of business is; else the Office of the Commissioner.</t>
  </si>
  <si>
    <t xml:space="preserve">5.  Mixed income earners: 8% is on ALL gross sales (no P250,000 deduction); compensation uses the graduated table.</t>
  </si>
  <si>
    <t xml:space="preserve">WHAT CHANGED: EOPTA, CMEPA and other updates</t>
  </si>
  <si>
    <t xml:space="preserve">THE BIG IDEA (read this first): Examiners love 'which is the CURRENT rule?' questions. EOPTA = Ease of Paying Taxes Act: it mainly changed VAT, OPT and compliance rules. CMEPA = Capital Markets Efficiency Promotion Act: it changed interest on deposits, stock transaction tax and DST on securities.</t>
  </si>
  <si>
    <t xml:space="preserve">1. EOPTA (Ease of Paying Taxes Act): what is NEW</t>
  </si>
  <si>
    <t xml:space="preserve">BEFORE</t>
  </si>
  <si>
    <t xml:space="preserve">NOW (under EOPTA)</t>
  </si>
  <si>
    <t xml:space="preserve">Requisites for deductibility</t>
  </si>
  <si>
    <t xml:space="preserve">6 requirements, incl. proof of payment of withholding tax to the BIR</t>
  </si>
  <si>
    <t xml:space="preserve">The 6th requirement is REMOVED (5 left)</t>
  </si>
  <si>
    <t xml:space="preserve">Five, not six</t>
  </si>
  <si>
    <t xml:space="preserve">VAT: tax base on sale of SERVICES</t>
  </si>
  <si>
    <t xml:space="preserve">Goods and services now both 'sales'</t>
  </si>
  <si>
    <t xml:space="preserve">VAT: invoicing on sale of SERVICES</t>
  </si>
  <si>
    <t xml:space="preserve">VAT INVOICE (same as goods)</t>
  </si>
  <si>
    <t xml:space="preserve">Invoice for all</t>
  </si>
  <si>
    <t xml:space="preserve">P3 million (fixed)</t>
  </si>
  <si>
    <t xml:space="preserve">P3 million, adjusted using CPI (PSA) every 3 YEARS</t>
  </si>
  <si>
    <t xml:space="preserve">3M, CPI every 3 years</t>
  </si>
  <si>
    <t xml:space="preserve">Q only</t>
  </si>
  <si>
    <t xml:space="preserve">VAT refund</t>
  </si>
  <si>
    <t xml:space="preserve">Classified LOW, MEDIUM, HIGH risk (amount, compliance history, frequency)</t>
  </si>
  <si>
    <t xml:space="preserve">Risk-based</t>
  </si>
  <si>
    <t xml:space="preserve">OPT tax base</t>
  </si>
  <si>
    <t xml:space="preserve">Mix of gross sales and gross receipts</t>
  </si>
  <si>
    <t xml:space="preserve">Purely GROSS SALES</t>
  </si>
  <si>
    <t xml:space="preserve">Sales</t>
  </si>
  <si>
    <t xml:space="preserve">Sec. 117: minimum quarterly gross receipts requirement (3% on carriers)</t>
  </si>
  <si>
    <t xml:space="preserve">Jeepney for hire: P2,400 (Manila/other cities), P1,200 (provincial); public utility bus, taxis, car for hire</t>
  </si>
  <si>
    <t xml:space="preserve">REMOVED</t>
  </si>
  <si>
    <t xml:space="preserve">No minimum</t>
  </si>
  <si>
    <t xml:space="preserve">Sec. 125-A: POGO gaming tax</t>
  </si>
  <si>
    <t xml:space="preserve">None</t>
  </si>
  <si>
    <t xml:space="preserve">5% OPT in lieu of all other direct and indirect internal revenue taxes and local taxes, on gaming income</t>
  </si>
  <si>
    <t xml:space="preserve">5% POGO</t>
  </si>
  <si>
    <t xml:space="preserve">Double taxation agreements: forms</t>
  </si>
  <si>
    <t xml:space="preserve">CORTT forms</t>
  </si>
  <si>
    <t xml:space="preserve">CORTT submission DISCONTINUED (only TTRA required)</t>
  </si>
  <si>
    <t xml:space="preserve">TTRA only</t>
  </si>
  <si>
    <t xml:space="preserve">Filing a return in the WRONG RDO (wrong venue)</t>
  </si>
  <si>
    <t xml:space="preserve">No surcharge</t>
  </si>
  <si>
    <t xml:space="preserve">Micro and small taxpayers: basic surcharge</t>
  </si>
  <si>
    <t xml:space="preserve">Break for small</t>
  </si>
  <si>
    <t xml:space="preserve">Micro and small taxpayers: interest on deficiency and delinquency</t>
  </si>
  <si>
    <t xml:space="preserve">Refund: BIR period to act</t>
  </si>
  <si>
    <t xml:space="preserve">Refund: CTA appeal</t>
  </si>
  <si>
    <t xml:space="preserve">Within 2 years from date of payment</t>
  </si>
  <si>
    <t xml:space="preserve">Within 30 days from denial or lapse of the 180 days (2-year period removed per your note)</t>
  </si>
  <si>
    <t xml:space="preserve">180 then 30</t>
  </si>
  <si>
    <t xml:space="preserve">Definitions to remember: MICRO = gross sales under P3M. SMALL = gross sales P3M to P20M.</t>
  </si>
  <si>
    <t xml:space="preserve">2. TOPICS UNCHANGED BY EOPTA (your note: 'same')</t>
  </si>
  <si>
    <t xml:space="preserve">General principles, individuals (graduated table is always given in the board exam), corporations (use 25% RCIT for regular, 20% for MSMEs; no need to pro-rate), partnerships/co-ownership/JV, estate and trust, gross income, capital assets, installment reporting, fringe benefits, donor's tax, estate tax, excise tax, DST, local taxes. For these, EOPTA made no change.</t>
  </si>
  <si>
    <t xml:space="preserve">3. CMEPA (Capital Markets Efficiency Promotion Act) - items found in your sheets</t>
  </si>
  <si>
    <t xml:space="preserve">Rule now</t>
  </si>
  <si>
    <t xml:space="preserve">What it replaced</t>
  </si>
  <si>
    <t xml:space="preserve">Interest on ANY currency bank deposit, deposit substitutes, trust funds and similar instruments</t>
  </si>
  <si>
    <t xml:space="preserve">A uniform 20% final tax</t>
  </si>
  <si>
    <t xml:space="preserve">Different rates for peso and foreign currency deposits (CREATE: 15% for RFC on foreign currency deposit; TRAIN: 7.5%)</t>
  </si>
  <si>
    <t xml:space="preserve">Sale, barter or exchange of LISTED shares through the exchange or IPO (Sec. 127)</t>
  </si>
  <si>
    <t xml:space="preserve">0.1% of gross selling price</t>
  </si>
  <si>
    <t xml:space="preserve">6/10 of 1% (0.6%)</t>
  </si>
  <si>
    <t xml:space="preserve">DST: original issuance of shares and debt instruments</t>
  </si>
  <si>
    <t xml:space="preserve">75% of 1% (0.75%, or P1.50 per P200)</t>
  </si>
  <si>
    <t xml:space="preserve">Higher rate for shares (as shown on your DST tab)</t>
  </si>
  <si>
    <t xml:space="preserve">DST: secondary market trading of fixed income securities and derivatives</t>
  </si>
  <si>
    <t xml:space="preserve">Not subject to DST</t>
  </si>
  <si>
    <t xml:space="preserve">Subject to DST</t>
  </si>
  <si>
    <t xml:space="preserve">ADDED BY ME (not in your original; double-check): The 'what it replaced' column for DST is my inference from your sheet's list of exemptions. Confirm with your review materials.</t>
  </si>
  <si>
    <t xml:space="preserve">4. RR No. 29-2025 (de minimis benefits)</t>
  </si>
  <si>
    <t xml:space="preserve">New, higher de minimis ceilings. Full table on the Fringe Benefits tab; remember the order '12 days, 2K, 2.5K, 8K, 12K, 400, 12K, 6K, 30%, 12K'.</t>
  </si>
  <si>
    <t xml:space="preserve">5. CREATE MORE</t>
  </si>
  <si>
    <t xml:space="preserve">New incentives for RBEs (ITH, SCIT 5% of gross income, EDR with 20% RCIT). See the CREATE MORE tab.</t>
  </si>
  <si>
    <t xml:space="preserve">CREATE vs TRAIN (history, and what is the rate TODAY)</t>
  </si>
  <si>
    <t xml:space="preserve">THE BIG IDEA (read this first): TRAIN (2018) and then CREATE (effective April 11, 2021) changed the rates. Some CREATE changes were TEMPORARY (July 1, 2020 to June 30, 2023). After that, the old rate came back. The last column is what you should use today.</t>
  </si>
  <si>
    <t xml:space="preserve">TRAIN (before)</t>
  </si>
  <si>
    <t xml:space="preserve">CREATE (after)</t>
  </si>
  <si>
    <t xml:space="preserve">Status TODAY</t>
  </si>
  <si>
    <t xml:space="preserve">FWT on PCSO winnings for NRA-ETB</t>
  </si>
  <si>
    <t xml:space="preserve">Other percentage tax (Sec. 116)</t>
  </si>
  <si>
    <t xml:space="preserve">1% from July 1, 2020 to June 30, 2023</t>
  </si>
  <si>
    <t xml:space="preserve">Back to 3%</t>
  </si>
  <si>
    <t xml:space="preserve">RCIT: domestic corporation</t>
  </si>
  <si>
    <t xml:space="preserve">25% (20% for small corporations), starting July 1, 2020</t>
  </si>
  <si>
    <t xml:space="preserve">25% / 20%</t>
  </si>
  <si>
    <t xml:space="preserve">RCIT: resident foreign corporation</t>
  </si>
  <si>
    <t xml:space="preserve">25%, starting July 1, 2020</t>
  </si>
  <si>
    <t xml:space="preserve">NRFC final withholding tax</t>
  </si>
  <si>
    <t xml:space="preserve">25%, starting January 1, 2021</t>
  </si>
  <si>
    <t xml:space="preserve">MCIT</t>
  </si>
  <si>
    <t xml:space="preserve">Back to 2%</t>
  </si>
  <si>
    <t xml:space="preserve">Improperly Accumulated Earnings Tax (IAET)</t>
  </si>
  <si>
    <t xml:space="preserve">10% on improperly accumulated income</t>
  </si>
  <si>
    <t xml:space="preserve">REPEALED</t>
  </si>
  <si>
    <t xml:space="preserve">Repealed</t>
  </si>
  <si>
    <t xml:space="preserve">Interest on foreign currency deposit (FCDS): RFC</t>
  </si>
  <si>
    <t xml:space="preserve">20% per your CMEPA note</t>
  </si>
  <si>
    <t xml:space="preserve">CGT on sale of unlisted shares: RFC and NRFC</t>
  </si>
  <si>
    <t xml:space="preserve">5% on the first P100,000; 10% on the excess</t>
  </si>
  <si>
    <t xml:space="preserve">Dividends received by a DC from a foreign corporation</t>
  </si>
  <si>
    <t xml:space="preserve">Ordinary income</t>
  </si>
  <si>
    <t xml:space="preserve">EXEMPT if Sec. 27(D) requirements are met</t>
  </si>
  <si>
    <t xml:space="preserve">Exempt if requirements are met</t>
  </si>
  <si>
    <t xml:space="preserve">Back to 10%</t>
  </si>
  <si>
    <t xml:space="preserve">ROHQ</t>
  </si>
  <si>
    <t xml:space="preserve">25% starting January 1, 2022</t>
  </si>
  <si>
    <t xml:space="preserve">OBU</t>
  </si>
  <si>
    <t xml:space="preserve">Exempt / 10%</t>
  </si>
  <si>
    <t xml:space="preserve">Partnership, co-ownership, JV (taxable): RCIT</t>
  </si>
  <si>
    <t xml:space="preserve">Partnership, co-ownership, JV (taxable): MCIT</t>
  </si>
  <si>
    <t xml:space="preserve">1% (temporary)</t>
  </si>
  <si>
    <t xml:space="preserve">Gross income</t>
  </si>
  <si>
    <t xml:space="preserve">Tax-exempt income under RA 11494 (Bayanihan Act II)</t>
  </si>
  <si>
    <t xml:space="preserve">Non-deductible interest expense</t>
  </si>
  <si>
    <t xml:space="preserve">33% of interest income</t>
  </si>
  <si>
    <t xml:space="preserve">20% of interest income (except MSMEs)</t>
  </si>
  <si>
    <t xml:space="preserve">NOLCO incurred in 2020 and 2021</t>
  </si>
  <si>
    <t xml:space="preserve">Carried over for 3 years</t>
  </si>
  <si>
    <t xml:space="preserve">Carried over for 5 years</t>
  </si>
  <si>
    <t xml:space="preserve">5 years for those years' losses</t>
  </si>
  <si>
    <t xml:space="preserve">Labor training expenses</t>
  </si>
  <si>
    <t xml:space="preserve">ADDITIONAL deduction of 1/2 of the value (limit: 10% of direct labor cost)</t>
  </si>
  <si>
    <t xml:space="preserve">Same</t>
  </si>
  <si>
    <t xml:space="preserve">VAT exemption on books, newspapers, magazines, journals, review bulletins and educational reading material under UNESCO agreement</t>
  </si>
  <si>
    <t xml:space="preserve">Physical copies only</t>
  </si>
  <si>
    <t xml:space="preserve">Includes digital or electronic format</t>
  </si>
  <si>
    <t xml:space="preserve">Includes digital</t>
  </si>
  <si>
    <t xml:space="preserve">Expanded exemption for COVID-19</t>
  </si>
  <si>
    <t xml:space="preserve">Capital equipment, spare parts and raw materials for PPE; drugs, vaccines and medical devices for COVID-19 treatment; FDA-approved COVID-19 drugs in clinical trials</t>
  </si>
  <si>
    <t xml:space="preserve">Time-limited</t>
  </si>
  <si>
    <t xml:space="preserve">Shares of stock sold through IPO</t>
  </si>
  <si>
    <t xml:space="preserve">4%, 2%, 1%</t>
  </si>
  <si>
    <t xml:space="preserve">Repealed under Bayanihan Act II effective September 15, 2020</t>
  </si>
  <si>
    <t xml:space="preserve">HOOK: CREATE in one sentence: 'Corporate tax fell from 30 to 25; some other rates were halved or cut for 3 years (OPT 1%, MCIT 1%, schools 1%), then snapped back to the original on July 1, 2023.'</t>
  </si>
</sst>
</file>

<file path=xl/styles.xml><?xml version="1.0" encoding="utf-8"?>
<styleSheet xmlns="http://schemas.openxmlformats.org/spreadsheetml/2006/main">
  <numFmts count="6">
    <numFmt numFmtId="164" formatCode="General"/>
    <numFmt numFmtId="165" formatCode="#,##0"/>
    <numFmt numFmtId="166" formatCode="0%"/>
    <numFmt numFmtId="167" formatCode="0"/>
    <numFmt numFmtId="168" formatCode="0.0%"/>
    <numFmt numFmtId="169" formatCode="0.0"/>
  </numFmts>
  <fonts count="21">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1"/>
      <color rgb="FF7F6000"/>
      <name val="Arial"/>
      <family val="0"/>
      <charset val="1"/>
    </font>
    <font>
      <b val="true"/>
      <sz val="11"/>
      <color rgb="FFFFFFFF"/>
      <name val="Arial"/>
      <family val="0"/>
      <charset val="1"/>
    </font>
    <font>
      <b val="true"/>
      <sz val="10"/>
      <color rgb="FF1F1F1F"/>
      <name val="Arial"/>
      <family val="0"/>
      <charset val="1"/>
    </font>
    <font>
      <sz val="10"/>
      <name val="Arial"/>
      <family val="0"/>
      <charset val="1"/>
    </font>
    <font>
      <i val="true"/>
      <sz val="10"/>
      <color rgb="FF1F4E9E"/>
      <name val="Arial"/>
      <family val="0"/>
      <charset val="1"/>
    </font>
    <font>
      <b val="true"/>
      <sz val="10"/>
      <name val="Arial"/>
      <family val="0"/>
      <charset val="1"/>
    </font>
    <font>
      <b val="true"/>
      <sz val="10"/>
      <color rgb="FFC00000"/>
      <name val="Arial"/>
      <family val="0"/>
      <charset val="1"/>
    </font>
    <font>
      <b val="true"/>
      <sz val="10"/>
      <color rgb="FF375623"/>
      <name val="Arial"/>
      <family val="0"/>
      <charset val="1"/>
    </font>
    <font>
      <sz val="10"/>
      <color rgb="FF1F4E9E"/>
      <name val="Arial"/>
      <family val="0"/>
      <charset val="1"/>
    </font>
    <font>
      <b val="true"/>
      <sz val="10"/>
      <color rgb="FF7F6000"/>
      <name val="Arial"/>
      <family val="0"/>
      <charset val="1"/>
    </font>
    <font>
      <sz val="10"/>
      <color rgb="FF0000FF"/>
      <name val="Arial"/>
      <family val="0"/>
      <charset val="1"/>
    </font>
    <font>
      <i val="true"/>
      <sz val="10"/>
      <color rgb="FF595959"/>
      <name val="Arial"/>
      <family val="0"/>
      <charset val="1"/>
    </font>
    <font>
      <b val="true"/>
      <sz val="10"/>
      <color rgb="FF808080"/>
      <name val="Arial"/>
      <family val="0"/>
      <charset val="1"/>
    </font>
    <font>
      <sz val="10"/>
      <color rgb="FF595959"/>
      <name val="Arial"/>
      <family val="0"/>
      <charset val="1"/>
    </font>
    <font>
      <sz val="10"/>
      <color rgb="FF808080"/>
      <name val="Arial"/>
      <family val="0"/>
      <charset val="1"/>
    </font>
    <font>
      <b val="true"/>
      <sz val="10"/>
      <color rgb="FF9C0006"/>
      <name val="Arial"/>
      <family val="0"/>
      <charset val="1"/>
    </font>
  </fonts>
  <fills count="17">
    <fill>
      <patternFill patternType="none"/>
    </fill>
    <fill>
      <patternFill patternType="gray125"/>
    </fill>
    <fill>
      <patternFill patternType="solid">
        <fgColor rgb="FF9C1C1C"/>
        <bgColor rgb="FF9C0006"/>
      </patternFill>
    </fill>
    <fill>
      <patternFill patternType="solid">
        <fgColor rgb="FFFFF2CC"/>
        <bgColor rgb="FFFFF8DC"/>
      </patternFill>
    </fill>
    <fill>
      <patternFill patternType="solid">
        <fgColor rgb="FFD9E1F2"/>
        <bgColor rgb="FFDDEBF7"/>
      </patternFill>
    </fill>
    <fill>
      <patternFill patternType="solid">
        <fgColor rgb="FFDDEBF7"/>
        <bgColor rgb="FFD9E1F2"/>
      </patternFill>
    </fill>
    <fill>
      <patternFill patternType="solid">
        <fgColor rgb="FFFFE699"/>
        <bgColor rgb="FFFFF2CC"/>
      </patternFill>
    </fill>
    <fill>
      <patternFill patternType="solid">
        <fgColor rgb="FFFFF8DC"/>
        <bgColor rgb="FFFFF2CC"/>
      </patternFill>
    </fill>
    <fill>
      <patternFill patternType="solid">
        <fgColor rgb="FFE2EFDA"/>
        <bgColor rgb="FFDDEBF7"/>
      </patternFill>
    </fill>
    <fill>
      <patternFill patternType="solid">
        <fgColor rgb="FFF2F7FC"/>
        <bgColor rgb="FFFFFFFF"/>
      </patternFill>
    </fill>
    <fill>
      <patternFill patternType="solid">
        <fgColor rgb="FF1F3864"/>
        <bgColor rgb="FF1F4E9E"/>
      </patternFill>
    </fill>
    <fill>
      <patternFill patternType="solid">
        <fgColor rgb="FFFCE4D6"/>
        <bgColor rgb="FFFFF2CC"/>
      </patternFill>
    </fill>
    <fill>
      <patternFill patternType="solid">
        <fgColor rgb="FF375623"/>
        <bgColor rgb="FF595959"/>
      </patternFill>
    </fill>
    <fill>
      <patternFill patternType="solid">
        <fgColor rgb="FF5B2C83"/>
        <bgColor rgb="FF1F3864"/>
      </patternFill>
    </fill>
    <fill>
      <patternFill patternType="solid">
        <fgColor rgb="FFA5470B"/>
        <bgColor rgb="FF7B3F00"/>
      </patternFill>
    </fill>
    <fill>
      <patternFill patternType="solid">
        <fgColor rgb="FF00695C"/>
        <bgColor rgb="FF008080"/>
      </patternFill>
    </fill>
    <fill>
      <patternFill patternType="solid">
        <fgColor rgb="FF7B3F00"/>
        <bgColor rgb="FFA5470B"/>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6" fillId="2"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10" fillId="7"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2" fillId="8" borderId="1" xfId="0" applyFont="true" applyBorder="true" applyAlignment="true" applyProtection="false">
      <alignment horizontal="left" vertical="top" textRotation="0" wrapText="true" indent="0" shrinkToFit="false"/>
      <protection locked="true" hidden="false"/>
    </xf>
    <xf numFmtId="164" fontId="13" fillId="9" borderId="1" xfId="0" applyFont="true" applyBorder="true" applyAlignment="true" applyProtection="false">
      <alignment horizontal="left"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4" fillId="3" borderId="0" xfId="0" applyFont="true" applyBorder="true" applyAlignment="true" applyProtection="false">
      <alignment horizontal="general" vertical="top" textRotation="0" wrapText="true" indent="0" shrinkToFit="false"/>
      <protection locked="true" hidden="false"/>
    </xf>
    <xf numFmtId="164" fontId="6" fillId="10" borderId="0" xfId="0" applyFont="true" applyBorder="false" applyAlignment="false" applyProtection="false">
      <alignment horizontal="general" vertical="bottom" textRotation="0" wrapText="fals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5" fontId="15" fillId="3"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6" fontId="19" fillId="0" borderId="0" xfId="0" applyFont="true" applyBorder="false" applyAlignment="false" applyProtection="false">
      <alignment horizontal="general" vertical="bottom" textRotation="0" wrapText="false" indent="0" shrinkToFit="false"/>
      <protection locked="true" hidden="false"/>
    </xf>
    <xf numFmtId="165" fontId="1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7" fontId="15" fillId="3"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15" fillId="3"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9" fontId="15" fillId="3"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4" fontId="20" fillId="11" borderId="1" xfId="0" applyFont="true" applyBorder="true" applyAlignment="true" applyProtection="false">
      <alignment horizontal="left" vertical="top" textRotation="0" wrapText="true" indent="0" shrinkToFit="false"/>
      <protection locked="true" hidden="false"/>
    </xf>
    <xf numFmtId="164" fontId="4" fillId="10" borderId="0" xfId="0" applyFont="true" applyBorder="true" applyAlignment="true" applyProtection="false">
      <alignment horizontal="left" vertical="center" textRotation="0" wrapText="true" indent="0" shrinkToFit="false"/>
      <protection locked="true" hidden="false"/>
    </xf>
    <xf numFmtId="164" fontId="6" fillId="10" borderId="1" xfId="0" applyFont="true" applyBorder="true" applyAlignment="true" applyProtection="false">
      <alignment horizontal="left" vertical="top" textRotation="0" wrapText="true" indent="0" shrinkToFit="false"/>
      <protection locked="true" hidden="false"/>
    </xf>
    <xf numFmtId="164" fontId="4" fillId="12" borderId="0" xfId="0" applyFont="true" applyBorder="true" applyAlignment="true" applyProtection="false">
      <alignment horizontal="left" vertical="center" textRotation="0" wrapText="true" indent="0" shrinkToFit="false"/>
      <protection locked="true" hidden="false"/>
    </xf>
    <xf numFmtId="164" fontId="6" fillId="12" borderId="1" xfId="0" applyFont="true" applyBorder="true" applyAlignment="true" applyProtection="false">
      <alignment horizontal="left" vertical="top" textRotation="0" wrapText="tru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4" fillId="13" borderId="0" xfId="0" applyFont="true" applyBorder="true" applyAlignment="true" applyProtection="false">
      <alignment horizontal="left" vertical="center" textRotation="0" wrapText="true" indent="0" shrinkToFit="false"/>
      <protection locked="true" hidden="false"/>
    </xf>
    <xf numFmtId="164" fontId="6" fillId="13" borderId="1" xfId="0" applyFont="true" applyBorder="true" applyAlignment="true" applyProtection="false">
      <alignment horizontal="left" vertical="top" textRotation="0" wrapText="true" indent="0" shrinkToFit="false"/>
      <protection locked="true" hidden="false"/>
    </xf>
    <xf numFmtId="164" fontId="4" fillId="14" borderId="0" xfId="0" applyFont="true" applyBorder="true" applyAlignment="true" applyProtection="false">
      <alignment horizontal="left" vertical="center" textRotation="0" wrapText="true" indent="0" shrinkToFit="false"/>
      <protection locked="true" hidden="false"/>
    </xf>
    <xf numFmtId="164" fontId="6" fillId="14" borderId="1" xfId="0" applyFont="true" applyBorder="true" applyAlignment="true" applyProtection="false">
      <alignment horizontal="left" vertical="top" textRotation="0" wrapText="true" indent="0" shrinkToFit="false"/>
      <protection locked="true" hidden="false"/>
    </xf>
    <xf numFmtId="164" fontId="4" fillId="15" borderId="0" xfId="0" applyFont="true" applyBorder="true" applyAlignment="true" applyProtection="false">
      <alignment horizontal="left" vertical="center" textRotation="0" wrapText="true" indent="0" shrinkToFit="false"/>
      <protection locked="true" hidden="false"/>
    </xf>
    <xf numFmtId="164" fontId="6" fillId="15" borderId="1" xfId="0" applyFont="true" applyBorder="true" applyAlignment="true" applyProtection="false">
      <alignment horizontal="left" vertical="top" textRotation="0" wrapText="true" indent="0" shrinkToFit="false"/>
      <protection locked="true" hidden="false"/>
    </xf>
    <xf numFmtId="164" fontId="4" fillId="16" borderId="0" xfId="0" applyFont="true" applyBorder="true" applyAlignment="true" applyProtection="false">
      <alignment horizontal="left" vertical="center" textRotation="0" wrapText="true" indent="0" shrinkToFit="false"/>
      <protection locked="true" hidden="false"/>
    </xf>
    <xf numFmtId="164" fontId="6" fillId="16"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9C0006"/>
      <rgbColor rgb="FF008000"/>
      <rgbColor rgb="FF000080"/>
      <rgbColor rgb="FF7F6000"/>
      <rgbColor rgb="FF800080"/>
      <rgbColor rgb="FF00695C"/>
      <rgbColor rgb="FFBFBFBF"/>
      <rgbColor rgb="FF808080"/>
      <rgbColor rgb="FF9999FF"/>
      <rgbColor rgb="FF7B3F00"/>
      <rgbColor rgb="FFFFF8DC"/>
      <rgbColor rgb="FFDDEBF7"/>
      <rgbColor rgb="FF5B2C83"/>
      <rgbColor rgb="FFFF8080"/>
      <rgbColor rgb="FF0066CC"/>
      <rgbColor rgb="FFD9E1F2"/>
      <rgbColor rgb="FF000080"/>
      <rgbColor rgb="FFFF00FF"/>
      <rgbColor rgb="FFFFFF00"/>
      <rgbColor rgb="FF00FFFF"/>
      <rgbColor rgb="FF800080"/>
      <rgbColor rgb="FF9C1C1C"/>
      <rgbColor rgb="FF008080"/>
      <rgbColor rgb="FF0000FF"/>
      <rgbColor rgb="FF00CCFF"/>
      <rgbColor rgb="FFF2F7FC"/>
      <rgbColor rgb="FFE2EFDA"/>
      <rgbColor rgb="FFFFE699"/>
      <rgbColor rgb="FFFFF2CC"/>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75623"/>
      <rgbColor rgb="FFA5470B"/>
      <rgbColor rgb="FF993366"/>
      <rgbColor rgb="FF1F4E9E"/>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1C1C"/>
    <pageSetUpPr fitToPage="true"/>
  </sheetPr>
  <dimension ref="A1:D5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38"/>
  </cols>
  <sheetData>
    <row r="1" customFormat="false" ht="30" hidden="false" customHeight="true" outlineLevel="0" collapsed="false">
      <c r="A1" s="1" t="s">
        <v>0</v>
      </c>
      <c r="B1" s="1"/>
      <c r="C1" s="1"/>
      <c r="D1" s="1"/>
    </row>
    <row r="2" customFormat="false" ht="33" hidden="false" customHeight="true" outlineLevel="0" collapsed="false">
      <c r="A2" s="2" t="s">
        <v>1</v>
      </c>
      <c r="B2" s="2"/>
      <c r="C2" s="2"/>
      <c r="D2" s="2"/>
    </row>
    <row r="3" customFormat="false" ht="7.5" hidden="false" customHeight="true" outlineLevel="0" collapsed="false"/>
    <row r="4" customFormat="false" ht="18" hidden="false" customHeight="true" outlineLevel="0" collapsed="false">
      <c r="A4" s="3" t="s">
        <v>2</v>
      </c>
      <c r="B4" s="3"/>
      <c r="C4" s="3"/>
      <c r="D4" s="3"/>
    </row>
    <row r="5" customFormat="false" ht="16.5" hidden="false" customHeight="true" outlineLevel="0" collapsed="false">
      <c r="A5" s="4" t="s">
        <v>3</v>
      </c>
      <c r="B5" s="4" t="s">
        <v>4</v>
      </c>
      <c r="C5" s="4"/>
      <c r="D5" s="4"/>
    </row>
    <row r="6" customFormat="false" ht="16.5" hidden="false" customHeight="true" outlineLevel="0" collapsed="false">
      <c r="A6" s="5" t="s">
        <v>5</v>
      </c>
      <c r="B6" s="5" t="s">
        <v>6</v>
      </c>
      <c r="C6" s="5"/>
      <c r="D6" s="5"/>
    </row>
    <row r="7" customFormat="false" ht="16.5" hidden="false" customHeight="true" outlineLevel="0" collapsed="false">
      <c r="A7" s="5" t="s">
        <v>7</v>
      </c>
      <c r="B7" s="5" t="s">
        <v>8</v>
      </c>
      <c r="C7" s="5"/>
      <c r="D7" s="5"/>
    </row>
    <row r="8" customFormat="false" ht="16.5" hidden="false" customHeight="true" outlineLevel="0" collapsed="false">
      <c r="A8" s="5" t="s">
        <v>9</v>
      </c>
      <c r="B8" s="5" t="s">
        <v>10</v>
      </c>
      <c r="C8" s="5"/>
      <c r="D8" s="5"/>
    </row>
    <row r="9" customFormat="false" ht="16.5" hidden="false" customHeight="true" outlineLevel="0" collapsed="false">
      <c r="A9" s="5" t="s">
        <v>11</v>
      </c>
      <c r="B9" s="5" t="s">
        <v>12</v>
      </c>
      <c r="C9" s="5"/>
      <c r="D9" s="5"/>
    </row>
    <row r="10" customFormat="false" ht="30" hidden="false" customHeight="true" outlineLevel="0" collapsed="false">
      <c r="A10" s="5" t="s">
        <v>13</v>
      </c>
      <c r="B10" s="5" t="s">
        <v>14</v>
      </c>
      <c r="C10" s="5"/>
      <c r="D10" s="5"/>
    </row>
    <row r="11" customFormat="false" ht="7.5" hidden="false" customHeight="true" outlineLevel="0" collapsed="false"/>
    <row r="12" customFormat="false" ht="18" hidden="false" customHeight="true" outlineLevel="0" collapsed="false">
      <c r="A12" s="3" t="s">
        <v>15</v>
      </c>
      <c r="B12" s="3"/>
      <c r="C12" s="3"/>
      <c r="D12" s="3"/>
    </row>
    <row r="13" customFormat="false" ht="16.5" hidden="false" customHeight="true" outlineLevel="0" collapsed="false">
      <c r="A13" s="4" t="s">
        <v>16</v>
      </c>
      <c r="B13" s="4" t="s">
        <v>17</v>
      </c>
      <c r="C13" s="4" t="s">
        <v>18</v>
      </c>
      <c r="D13" s="4"/>
    </row>
    <row r="14" customFormat="false" ht="43.5" hidden="false" customHeight="true" outlineLevel="0" collapsed="false">
      <c r="A14" s="5" t="s">
        <v>19</v>
      </c>
      <c r="B14" s="5" t="s">
        <v>20</v>
      </c>
      <c r="C14" s="5" t="s">
        <v>21</v>
      </c>
      <c r="D14" s="5"/>
    </row>
    <row r="15" customFormat="false" ht="43.5" hidden="false" customHeight="true" outlineLevel="0" collapsed="false">
      <c r="A15" s="5" t="s">
        <v>22</v>
      </c>
      <c r="B15" s="5" t="s">
        <v>23</v>
      </c>
      <c r="C15" s="5" t="s">
        <v>24</v>
      </c>
      <c r="D15" s="5"/>
    </row>
    <row r="16" customFormat="false" ht="30" hidden="false" customHeight="true" outlineLevel="0" collapsed="false">
      <c r="A16" s="5" t="s">
        <v>25</v>
      </c>
      <c r="B16" s="5" t="s">
        <v>26</v>
      </c>
      <c r="C16" s="5" t="s">
        <v>24</v>
      </c>
      <c r="D16" s="5"/>
    </row>
    <row r="17" customFormat="false" ht="43.5" hidden="false" customHeight="true" outlineLevel="0" collapsed="false">
      <c r="A17" s="5" t="s">
        <v>27</v>
      </c>
      <c r="B17" s="5" t="s">
        <v>28</v>
      </c>
      <c r="C17" s="5" t="s">
        <v>29</v>
      </c>
      <c r="D17" s="5"/>
    </row>
    <row r="18" customFormat="false" ht="30" hidden="false" customHeight="true" outlineLevel="0" collapsed="false">
      <c r="A18" s="5" t="s">
        <v>30</v>
      </c>
      <c r="B18" s="5" t="s">
        <v>31</v>
      </c>
      <c r="C18" s="5" t="s">
        <v>32</v>
      </c>
      <c r="D18" s="5"/>
    </row>
    <row r="19" customFormat="false" ht="7.5" hidden="false" customHeight="true" outlineLevel="0" collapsed="false"/>
    <row r="20" customFormat="false" ht="18" hidden="false" customHeight="true" outlineLevel="0" collapsed="false">
      <c r="A20" s="3" t="s">
        <v>33</v>
      </c>
      <c r="B20" s="3"/>
      <c r="C20" s="3"/>
      <c r="D20" s="3"/>
    </row>
    <row r="21" customFormat="false" ht="16.5" hidden="false" customHeight="true" outlineLevel="0" collapsed="false">
      <c r="A21" s="4" t="s">
        <v>34</v>
      </c>
      <c r="B21" s="4" t="s">
        <v>35</v>
      </c>
      <c r="C21" s="4" t="s">
        <v>36</v>
      </c>
      <c r="D21" s="4"/>
    </row>
    <row r="22" customFormat="false" ht="30" hidden="false" customHeight="true" outlineLevel="0" collapsed="false">
      <c r="A22" s="5" t="s">
        <v>37</v>
      </c>
      <c r="B22" s="5" t="s">
        <v>38</v>
      </c>
      <c r="C22" s="5" t="s">
        <v>39</v>
      </c>
      <c r="D22" s="5"/>
    </row>
    <row r="23" customFormat="false" ht="30" hidden="false" customHeight="true" outlineLevel="0" collapsed="false">
      <c r="A23" s="5" t="s">
        <v>40</v>
      </c>
      <c r="B23" s="5" t="s">
        <v>41</v>
      </c>
      <c r="C23" s="5" t="s">
        <v>39</v>
      </c>
      <c r="D23" s="5"/>
    </row>
    <row r="24" customFormat="false" ht="16.5" hidden="false" customHeight="true" outlineLevel="0" collapsed="false">
      <c r="A24" s="5" t="s">
        <v>42</v>
      </c>
      <c r="B24" s="5" t="s">
        <v>43</v>
      </c>
      <c r="C24" s="5" t="s">
        <v>39</v>
      </c>
      <c r="D24" s="5"/>
    </row>
    <row r="25" customFormat="false" ht="30" hidden="false" customHeight="true" outlineLevel="0" collapsed="false">
      <c r="A25" s="5" t="s">
        <v>44</v>
      </c>
      <c r="B25" s="5" t="s">
        <v>45</v>
      </c>
      <c r="C25" s="5" t="s">
        <v>46</v>
      </c>
      <c r="D25" s="5"/>
    </row>
    <row r="26" customFormat="false" ht="30" hidden="false" customHeight="true" outlineLevel="0" collapsed="false">
      <c r="A26" s="5" t="s">
        <v>47</v>
      </c>
      <c r="B26" s="5" t="s">
        <v>48</v>
      </c>
      <c r="C26" s="5" t="s">
        <v>49</v>
      </c>
      <c r="D26" s="5"/>
    </row>
    <row r="27" customFormat="false" ht="30" hidden="false" customHeight="true" outlineLevel="0" collapsed="false">
      <c r="A27" s="5" t="s">
        <v>50</v>
      </c>
      <c r="B27" s="5" t="s">
        <v>51</v>
      </c>
      <c r="C27" s="5" t="s">
        <v>52</v>
      </c>
      <c r="D27" s="5"/>
    </row>
    <row r="28" customFormat="false" ht="30" hidden="false" customHeight="true" outlineLevel="0" collapsed="false">
      <c r="A28" s="5" t="s">
        <v>53</v>
      </c>
      <c r="B28" s="5" t="s">
        <v>54</v>
      </c>
      <c r="C28" s="5" t="s">
        <v>52</v>
      </c>
      <c r="D28" s="5"/>
    </row>
    <row r="29" customFormat="false" ht="30" hidden="false" customHeight="true" outlineLevel="0" collapsed="false">
      <c r="A29" s="5" t="s">
        <v>55</v>
      </c>
      <c r="B29" s="5" t="s">
        <v>56</v>
      </c>
      <c r="C29" s="5" t="s">
        <v>52</v>
      </c>
      <c r="D29" s="5"/>
    </row>
    <row r="30" customFormat="false" ht="43.5" hidden="false" customHeight="true" outlineLevel="0" collapsed="false">
      <c r="A30" s="5" t="s">
        <v>57</v>
      </c>
      <c r="B30" s="5" t="s">
        <v>58</v>
      </c>
      <c r="C30" s="5" t="s">
        <v>59</v>
      </c>
      <c r="D30" s="5"/>
    </row>
    <row r="31" customFormat="false" ht="30" hidden="false" customHeight="true" outlineLevel="0" collapsed="false">
      <c r="A31" s="5" t="s">
        <v>60</v>
      </c>
      <c r="B31" s="5" t="s">
        <v>61</v>
      </c>
      <c r="C31" s="5" t="s">
        <v>59</v>
      </c>
      <c r="D31" s="5"/>
    </row>
    <row r="32" customFormat="false" ht="30" hidden="false" customHeight="true" outlineLevel="0" collapsed="false">
      <c r="A32" s="5" t="s">
        <v>62</v>
      </c>
      <c r="B32" s="5" t="s">
        <v>63</v>
      </c>
      <c r="C32" s="5" t="s">
        <v>64</v>
      </c>
      <c r="D32" s="5"/>
    </row>
    <row r="33" customFormat="false" ht="7.5" hidden="false" customHeight="true" outlineLevel="0" collapsed="false"/>
    <row r="34" customFormat="false" ht="18" hidden="false" customHeight="true" outlineLevel="0" collapsed="false">
      <c r="A34" s="3" t="s">
        <v>65</v>
      </c>
      <c r="B34" s="3"/>
      <c r="C34" s="3"/>
      <c r="D34" s="3"/>
    </row>
    <row r="35" customFormat="false" ht="16.5" hidden="false" customHeight="true" outlineLevel="0" collapsed="false">
      <c r="A35" s="4" t="s">
        <v>66</v>
      </c>
      <c r="B35" s="4" t="s">
        <v>67</v>
      </c>
      <c r="C35" s="4" t="s">
        <v>68</v>
      </c>
      <c r="D35" s="4"/>
    </row>
    <row r="36" customFormat="false" ht="16.5" hidden="false" customHeight="true" outlineLevel="0" collapsed="false">
      <c r="A36" s="5" t="s">
        <v>69</v>
      </c>
      <c r="B36" s="5" t="s">
        <v>70</v>
      </c>
      <c r="C36" s="5" t="s">
        <v>71</v>
      </c>
      <c r="D36" s="5"/>
    </row>
    <row r="37" customFormat="false" ht="43.5" hidden="false" customHeight="true" outlineLevel="0" collapsed="false">
      <c r="A37" s="5" t="s">
        <v>72</v>
      </c>
      <c r="B37" s="5" t="s">
        <v>73</v>
      </c>
      <c r="C37" s="5" t="s">
        <v>74</v>
      </c>
      <c r="D37" s="5"/>
    </row>
    <row r="38" customFormat="false" ht="30" hidden="false" customHeight="true" outlineLevel="0" collapsed="false">
      <c r="A38" s="5" t="s">
        <v>75</v>
      </c>
      <c r="B38" s="5" t="s">
        <v>76</v>
      </c>
      <c r="C38" s="5" t="s">
        <v>77</v>
      </c>
      <c r="D38" s="5"/>
    </row>
    <row r="39" customFormat="false" ht="7.5" hidden="false" customHeight="true" outlineLevel="0" collapsed="false"/>
    <row r="40" customFormat="false" ht="30" hidden="false" customHeight="true" outlineLevel="0" collapsed="false">
      <c r="A40" s="6" t="s">
        <v>78</v>
      </c>
      <c r="B40" s="6"/>
      <c r="C40" s="6"/>
      <c r="D40" s="6"/>
    </row>
    <row r="41" customFormat="false" ht="7.5" hidden="false" customHeight="true" outlineLevel="0" collapsed="false"/>
    <row r="42" customFormat="false" ht="18" hidden="false" customHeight="true" outlineLevel="0" collapsed="false">
      <c r="A42" s="3" t="s">
        <v>79</v>
      </c>
      <c r="B42" s="3"/>
      <c r="C42" s="3"/>
      <c r="D42" s="3"/>
    </row>
    <row r="43" customFormat="false" ht="16.5" hidden="false" customHeight="true" outlineLevel="0" collapsed="false">
      <c r="A43" s="5" t="s">
        <v>80</v>
      </c>
      <c r="B43" s="5"/>
      <c r="C43" s="5"/>
      <c r="D43" s="5"/>
    </row>
    <row r="44" customFormat="false" ht="16.5" hidden="false" customHeight="true" outlineLevel="0" collapsed="false">
      <c r="A44" s="5" t="s">
        <v>81</v>
      </c>
      <c r="B44" s="5"/>
      <c r="C44" s="5"/>
      <c r="D44" s="5"/>
    </row>
    <row r="45" customFormat="false" ht="16.5" hidden="false" customHeight="true" outlineLevel="0" collapsed="false">
      <c r="A45" s="5" t="s">
        <v>82</v>
      </c>
      <c r="B45" s="5"/>
      <c r="C45" s="5"/>
      <c r="D45" s="5"/>
    </row>
    <row r="46" customFormat="false" ht="16.5" hidden="false" customHeight="true" outlineLevel="0" collapsed="false">
      <c r="A46" s="5" t="s">
        <v>83</v>
      </c>
      <c r="B46" s="5"/>
      <c r="C46" s="5"/>
      <c r="D46" s="5"/>
    </row>
    <row r="47" customFormat="false" ht="16.5" hidden="false" customHeight="true" outlineLevel="0" collapsed="false">
      <c r="A47" s="5" t="s">
        <v>84</v>
      </c>
      <c r="B47" s="5"/>
      <c r="C47" s="5"/>
      <c r="D47" s="5"/>
    </row>
    <row r="48" customFormat="false" ht="16.5" hidden="false" customHeight="true" outlineLevel="0" collapsed="false">
      <c r="A48" s="5" t="s">
        <v>85</v>
      </c>
      <c r="B48" s="5"/>
      <c r="C48" s="5"/>
      <c r="D48" s="5"/>
    </row>
    <row r="49" customFormat="false" ht="7.5" hidden="false" customHeight="true" outlineLevel="0" collapsed="false"/>
    <row r="50" customFormat="false" ht="16.5" hidden="false" customHeight="true" outlineLevel="0" collapsed="false">
      <c r="A50" s="7" t="s">
        <v>86</v>
      </c>
      <c r="B50" s="7"/>
      <c r="C50" s="7"/>
      <c r="D50" s="7"/>
    </row>
    <row r="51" customFormat="false" ht="16.5" hidden="false" customHeight="true" outlineLevel="0" collapsed="false">
      <c r="A51" s="8" t="s">
        <v>87</v>
      </c>
      <c r="B51" s="8"/>
      <c r="C51" s="8"/>
      <c r="D51" s="8"/>
    </row>
    <row r="52" customFormat="false" ht="16.5" hidden="false" customHeight="true" outlineLevel="0" collapsed="false">
      <c r="A52" s="8" t="s">
        <v>88</v>
      </c>
      <c r="B52" s="8"/>
      <c r="C52" s="8"/>
      <c r="D52" s="8"/>
    </row>
    <row r="53" customFormat="false" ht="16.5" hidden="false" customHeight="true" outlineLevel="0" collapsed="false">
      <c r="A53" s="8" t="s">
        <v>89</v>
      </c>
      <c r="B53" s="8"/>
      <c r="C53" s="8"/>
      <c r="D53" s="8"/>
    </row>
    <row r="54" customFormat="false" ht="16.5" hidden="false" customHeight="true" outlineLevel="0" collapsed="false">
      <c r="A54" s="8" t="s">
        <v>90</v>
      </c>
      <c r="B54" s="8"/>
      <c r="C54" s="8"/>
      <c r="D54" s="8"/>
    </row>
    <row r="55" customFormat="false" ht="16.5" hidden="false" customHeight="true" outlineLevel="0" collapsed="false">
      <c r="A55" s="8" t="s">
        <v>91</v>
      </c>
      <c r="B55" s="8"/>
      <c r="C55" s="8"/>
      <c r="D55" s="8"/>
    </row>
    <row r="56" customFormat="false" ht="7.5" hidden="false" customHeight="true" outlineLevel="0" collapsed="false"/>
  </sheetData>
  <mergeCells count="48">
    <mergeCell ref="A1:D1"/>
    <mergeCell ref="A2:D2"/>
    <mergeCell ref="A4:D4"/>
    <mergeCell ref="B5:D5"/>
    <mergeCell ref="B6:D6"/>
    <mergeCell ref="B7:D7"/>
    <mergeCell ref="B8:D8"/>
    <mergeCell ref="B9:D9"/>
    <mergeCell ref="B10:D10"/>
    <mergeCell ref="A12:D12"/>
    <mergeCell ref="C13:D13"/>
    <mergeCell ref="C14:D14"/>
    <mergeCell ref="C15:D15"/>
    <mergeCell ref="C16:D16"/>
    <mergeCell ref="C17:D17"/>
    <mergeCell ref="C18:D18"/>
    <mergeCell ref="A20:D20"/>
    <mergeCell ref="C21:D21"/>
    <mergeCell ref="C22:D22"/>
    <mergeCell ref="C23:D23"/>
    <mergeCell ref="C24:D24"/>
    <mergeCell ref="C25:D25"/>
    <mergeCell ref="C26:D26"/>
    <mergeCell ref="C27:D27"/>
    <mergeCell ref="C28:D28"/>
    <mergeCell ref="C29:D29"/>
    <mergeCell ref="C30:D30"/>
    <mergeCell ref="C31:D31"/>
    <mergeCell ref="C32:D32"/>
    <mergeCell ref="A34:D34"/>
    <mergeCell ref="C35:D35"/>
    <mergeCell ref="C36:D36"/>
    <mergeCell ref="C37:D37"/>
    <mergeCell ref="C38:D38"/>
    <mergeCell ref="A40:D40"/>
    <mergeCell ref="A42:D42"/>
    <mergeCell ref="A43:D43"/>
    <mergeCell ref="A44:D44"/>
    <mergeCell ref="A45:D45"/>
    <mergeCell ref="A46:D46"/>
    <mergeCell ref="A47:D47"/>
    <mergeCell ref="A48:D48"/>
    <mergeCell ref="A50:D50"/>
    <mergeCell ref="A51:D51"/>
    <mergeCell ref="A52:D52"/>
    <mergeCell ref="A53:D53"/>
    <mergeCell ref="A54:D54"/>
    <mergeCell ref="A55:D5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1C1C"/>
    <pageSetUpPr fitToPage="true"/>
  </sheetPr>
  <dimension ref="A1:D1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38"/>
  </cols>
  <sheetData>
    <row r="1" customFormat="false" ht="30" hidden="false" customHeight="true" outlineLevel="0" collapsed="false">
      <c r="A1" s="1" t="s">
        <v>92</v>
      </c>
      <c r="B1" s="1"/>
      <c r="C1" s="1"/>
      <c r="D1" s="1"/>
    </row>
    <row r="2" customFormat="false" ht="33" hidden="false" customHeight="true" outlineLevel="0" collapsed="false">
      <c r="A2" s="2" t="s">
        <v>93</v>
      </c>
      <c r="B2" s="2"/>
      <c r="C2" s="2"/>
      <c r="D2" s="2"/>
    </row>
    <row r="3" customFormat="false" ht="7.5" hidden="false" customHeight="true" outlineLevel="0" collapsed="false"/>
    <row r="4" customFormat="false" ht="18" hidden="false" customHeight="true" outlineLevel="0" collapsed="false">
      <c r="A4" s="3" t="s">
        <v>94</v>
      </c>
      <c r="B4" s="3"/>
      <c r="C4" s="3"/>
      <c r="D4" s="3"/>
    </row>
    <row r="5" customFormat="false" ht="16.5" hidden="false" customHeight="true" outlineLevel="0" collapsed="false">
      <c r="A5" s="4" t="s">
        <v>95</v>
      </c>
      <c r="B5" s="4" t="s">
        <v>96</v>
      </c>
      <c r="C5" s="4" t="s">
        <v>97</v>
      </c>
      <c r="D5" s="4" t="s">
        <v>98</v>
      </c>
    </row>
    <row r="6" customFormat="false" ht="16.5" hidden="false" customHeight="true" outlineLevel="0" collapsed="false">
      <c r="A6" s="5" t="s">
        <v>99</v>
      </c>
      <c r="B6" s="9" t="s">
        <v>100</v>
      </c>
      <c r="C6" s="5" t="s">
        <v>101</v>
      </c>
      <c r="D6" s="5" t="s">
        <v>102</v>
      </c>
    </row>
    <row r="7" customFormat="false" ht="16.5" hidden="false" customHeight="true" outlineLevel="0" collapsed="false">
      <c r="A7" s="5" t="s">
        <v>103</v>
      </c>
      <c r="B7" s="9" t="s">
        <v>104</v>
      </c>
      <c r="C7" s="5"/>
      <c r="D7" s="5" t="s">
        <v>105</v>
      </c>
    </row>
    <row r="8" customFormat="false" ht="16.5" hidden="false" customHeight="true" outlineLevel="0" collapsed="false">
      <c r="A8" s="5" t="s">
        <v>106</v>
      </c>
      <c r="B8" s="9" t="s">
        <v>107</v>
      </c>
      <c r="C8" s="5" t="s">
        <v>108</v>
      </c>
      <c r="D8" s="5" t="s">
        <v>109</v>
      </c>
    </row>
    <row r="9" customFormat="false" ht="16.5" hidden="false" customHeight="true" outlineLevel="0" collapsed="false">
      <c r="A9" s="5" t="s">
        <v>110</v>
      </c>
      <c r="B9" s="9" t="s">
        <v>111</v>
      </c>
      <c r="C9" s="5" t="s">
        <v>112</v>
      </c>
      <c r="D9" s="5" t="s">
        <v>109</v>
      </c>
    </row>
    <row r="10" customFormat="false" ht="30" hidden="false" customHeight="true" outlineLevel="0" collapsed="false">
      <c r="A10" s="5" t="s">
        <v>113</v>
      </c>
      <c r="B10" s="9" t="s">
        <v>114</v>
      </c>
      <c r="C10" s="5" t="s">
        <v>115</v>
      </c>
      <c r="D10" s="5" t="s">
        <v>109</v>
      </c>
    </row>
    <row r="11" customFormat="false" ht="30" hidden="false" customHeight="true" outlineLevel="0" collapsed="false">
      <c r="A11" s="5" t="s">
        <v>116</v>
      </c>
      <c r="B11" s="9" t="s">
        <v>117</v>
      </c>
      <c r="C11" s="5" t="s">
        <v>118</v>
      </c>
      <c r="D11" s="5" t="s">
        <v>119</v>
      </c>
    </row>
    <row r="12" customFormat="false" ht="7.5" hidden="false" customHeight="true" outlineLevel="0" collapsed="false"/>
    <row r="13" customFormat="false" ht="30" hidden="false" customHeight="true" outlineLevel="0" collapsed="false">
      <c r="A13" s="10" t="s">
        <v>120</v>
      </c>
      <c r="B13" s="10"/>
      <c r="C13" s="10"/>
      <c r="D13" s="10"/>
    </row>
    <row r="14" customFormat="false" ht="7.5" hidden="false" customHeight="true" outlineLevel="0" collapsed="false"/>
    <row r="15" customFormat="false" ht="16.5" hidden="false" customHeight="true" outlineLevel="0" collapsed="false">
      <c r="A15" s="4" t="s">
        <v>121</v>
      </c>
      <c r="B15" s="4" t="s">
        <v>122</v>
      </c>
      <c r="C15" s="4" t="s">
        <v>123</v>
      </c>
      <c r="D15" s="4" t="s">
        <v>98</v>
      </c>
    </row>
    <row r="16" customFormat="false" ht="69.75" hidden="false" customHeight="true" outlineLevel="0" collapsed="false">
      <c r="A16" s="11" t="s">
        <v>124</v>
      </c>
      <c r="B16" s="11" t="s">
        <v>125</v>
      </c>
      <c r="C16" s="11" t="s">
        <v>126</v>
      </c>
      <c r="D16" s="11" t="s">
        <v>127</v>
      </c>
    </row>
    <row r="17" customFormat="false" ht="43.5" hidden="false" customHeight="true" outlineLevel="0" collapsed="false">
      <c r="A17" s="11" t="s">
        <v>128</v>
      </c>
      <c r="B17" s="11" t="s">
        <v>129</v>
      </c>
      <c r="C17" s="11" t="s">
        <v>130</v>
      </c>
      <c r="D17" s="11" t="s">
        <v>131</v>
      </c>
    </row>
    <row r="18" customFormat="false" ht="30" hidden="false" customHeight="true" outlineLevel="0" collapsed="false">
      <c r="A18" s="11" t="s">
        <v>132</v>
      </c>
      <c r="B18" s="11" t="s">
        <v>133</v>
      </c>
      <c r="C18" s="11" t="s">
        <v>134</v>
      </c>
      <c r="D18" s="11" t="s">
        <v>135</v>
      </c>
    </row>
    <row r="19" customFormat="false" ht="7.5" hidden="false" customHeight="true" outlineLevel="0" collapsed="false"/>
    <row r="20" customFormat="false" ht="18" hidden="false" customHeight="true" outlineLevel="0" collapsed="false">
      <c r="A20" s="3" t="s">
        <v>136</v>
      </c>
      <c r="B20" s="3"/>
      <c r="C20" s="3"/>
      <c r="D20" s="3"/>
    </row>
    <row r="21" customFormat="false" ht="16.5" hidden="false" customHeight="true" outlineLevel="0" collapsed="false">
      <c r="A21" s="4" t="s">
        <v>137</v>
      </c>
      <c r="B21" s="4" t="s">
        <v>138</v>
      </c>
      <c r="C21" s="4" t="s">
        <v>139</v>
      </c>
      <c r="D21" s="4" t="s">
        <v>98</v>
      </c>
    </row>
    <row r="22" customFormat="false" ht="56.25" hidden="false" customHeight="true" outlineLevel="0" collapsed="false">
      <c r="A22" s="5" t="s">
        <v>140</v>
      </c>
      <c r="B22" s="9" t="s">
        <v>141</v>
      </c>
      <c r="C22" s="5" t="s">
        <v>142</v>
      </c>
      <c r="D22" s="5" t="s">
        <v>143</v>
      </c>
    </row>
    <row r="23" customFormat="false" ht="30" hidden="false" customHeight="true" outlineLevel="0" collapsed="false">
      <c r="A23" s="5" t="s">
        <v>144</v>
      </c>
      <c r="B23" s="9" t="s">
        <v>145</v>
      </c>
      <c r="C23" s="5" t="s">
        <v>142</v>
      </c>
      <c r="D23" s="5" t="s">
        <v>146</v>
      </c>
    </row>
    <row r="24" customFormat="false" ht="16.5" hidden="false" customHeight="true" outlineLevel="0" collapsed="false">
      <c r="A24" s="5" t="s">
        <v>147</v>
      </c>
      <c r="B24" s="9" t="s">
        <v>141</v>
      </c>
      <c r="C24" s="5" t="s">
        <v>142</v>
      </c>
      <c r="D24" s="5"/>
    </row>
    <row r="25" customFormat="false" ht="30" hidden="false" customHeight="true" outlineLevel="0" collapsed="false">
      <c r="A25" s="5" t="s">
        <v>148</v>
      </c>
      <c r="B25" s="9" t="s">
        <v>149</v>
      </c>
      <c r="C25" s="5" t="s">
        <v>142</v>
      </c>
      <c r="D25" s="5" t="s">
        <v>150</v>
      </c>
    </row>
    <row r="26" customFormat="false" ht="16.5" hidden="false" customHeight="true" outlineLevel="0" collapsed="false">
      <c r="A26" s="5" t="s">
        <v>151</v>
      </c>
      <c r="B26" s="9" t="s">
        <v>141</v>
      </c>
      <c r="C26" s="5" t="s">
        <v>142</v>
      </c>
      <c r="D26" s="5" t="s">
        <v>152</v>
      </c>
    </row>
    <row r="27" customFormat="false" ht="30" hidden="false" customHeight="true" outlineLevel="0" collapsed="false">
      <c r="A27" s="5" t="s">
        <v>153</v>
      </c>
      <c r="B27" s="9" t="s">
        <v>154</v>
      </c>
      <c r="C27" s="5" t="s">
        <v>142</v>
      </c>
      <c r="D27" s="5" t="s">
        <v>155</v>
      </c>
    </row>
    <row r="28" customFormat="false" ht="30" hidden="false" customHeight="true" outlineLevel="0" collapsed="false">
      <c r="A28" s="5" t="s">
        <v>156</v>
      </c>
      <c r="B28" s="9" t="s">
        <v>141</v>
      </c>
      <c r="C28" s="5" t="s">
        <v>142</v>
      </c>
      <c r="D28" s="5"/>
    </row>
    <row r="29" customFormat="false" ht="16.5" hidden="false" customHeight="true" outlineLevel="0" collapsed="false">
      <c r="A29" s="5" t="s">
        <v>157</v>
      </c>
      <c r="B29" s="9" t="s">
        <v>141</v>
      </c>
      <c r="C29" s="5" t="s">
        <v>142</v>
      </c>
      <c r="D29" s="5"/>
    </row>
    <row r="30" customFormat="false" ht="30" hidden="false" customHeight="true" outlineLevel="0" collapsed="false">
      <c r="A30" s="5" t="s">
        <v>158</v>
      </c>
      <c r="B30" s="9" t="s">
        <v>159</v>
      </c>
      <c r="C30" s="5" t="s">
        <v>142</v>
      </c>
      <c r="D30" s="5" t="s">
        <v>160</v>
      </c>
    </row>
    <row r="31" customFormat="false" ht="56.25" hidden="false" customHeight="true" outlineLevel="0" collapsed="false">
      <c r="A31" s="5" t="s">
        <v>161</v>
      </c>
      <c r="B31" s="9" t="s">
        <v>159</v>
      </c>
      <c r="C31" s="5" t="s">
        <v>142</v>
      </c>
      <c r="D31" s="5" t="s">
        <v>162</v>
      </c>
    </row>
    <row r="32" customFormat="false" ht="7.5" hidden="false" customHeight="true" outlineLevel="0" collapsed="false"/>
    <row r="33" customFormat="false" ht="30" hidden="false" customHeight="true" outlineLevel="0" collapsed="false">
      <c r="A33" s="10" t="s">
        <v>163</v>
      </c>
      <c r="B33" s="10"/>
      <c r="C33" s="10"/>
      <c r="D33" s="10"/>
    </row>
    <row r="34" customFormat="false" ht="7.5" hidden="false" customHeight="true" outlineLevel="0" collapsed="false"/>
    <row r="35" customFormat="false" ht="18" hidden="false" customHeight="true" outlineLevel="0" collapsed="false">
      <c r="A35" s="3" t="s">
        <v>164</v>
      </c>
      <c r="B35" s="3"/>
      <c r="C35" s="3"/>
      <c r="D35" s="3"/>
    </row>
    <row r="36" customFormat="false" ht="16.5" hidden="false" customHeight="true" outlineLevel="0" collapsed="false">
      <c r="A36" s="4" t="s">
        <v>165</v>
      </c>
      <c r="B36" s="4" t="s">
        <v>166</v>
      </c>
      <c r="C36" s="4" t="s">
        <v>167</v>
      </c>
      <c r="D36" s="4" t="s">
        <v>98</v>
      </c>
    </row>
    <row r="37" customFormat="false" ht="30" hidden="false" customHeight="true" outlineLevel="0" collapsed="false">
      <c r="A37" s="5" t="s">
        <v>168</v>
      </c>
      <c r="B37" s="9" t="s">
        <v>169</v>
      </c>
      <c r="C37" s="5" t="s">
        <v>170</v>
      </c>
      <c r="D37" s="5" t="s">
        <v>171</v>
      </c>
    </row>
    <row r="38" customFormat="false" ht="30" hidden="false" customHeight="true" outlineLevel="0" collapsed="false">
      <c r="A38" s="5" t="s">
        <v>172</v>
      </c>
      <c r="B38" s="9" t="s">
        <v>173</v>
      </c>
      <c r="C38" s="5" t="s">
        <v>174</v>
      </c>
      <c r="D38" s="5" t="s">
        <v>175</v>
      </c>
    </row>
    <row r="39" customFormat="false" ht="30" hidden="false" customHeight="true" outlineLevel="0" collapsed="false">
      <c r="A39" s="5" t="s">
        <v>176</v>
      </c>
      <c r="B39" s="9" t="s">
        <v>177</v>
      </c>
      <c r="C39" s="5" t="s">
        <v>178</v>
      </c>
      <c r="D39" s="5" t="s">
        <v>179</v>
      </c>
    </row>
    <row r="40" customFormat="false" ht="43.5" hidden="false" customHeight="true" outlineLevel="0" collapsed="false">
      <c r="A40" s="5" t="s">
        <v>180</v>
      </c>
      <c r="B40" s="9" t="s">
        <v>181</v>
      </c>
      <c r="C40" s="5" t="s">
        <v>182</v>
      </c>
      <c r="D40" s="5" t="s">
        <v>183</v>
      </c>
    </row>
    <row r="41" customFormat="false" ht="30" hidden="false" customHeight="true" outlineLevel="0" collapsed="false">
      <c r="A41" s="5" t="s">
        <v>184</v>
      </c>
      <c r="B41" s="9" t="s">
        <v>185</v>
      </c>
      <c r="C41" s="5" t="s">
        <v>186</v>
      </c>
      <c r="D41" s="5"/>
    </row>
    <row r="42" customFormat="false" ht="43.5" hidden="false" customHeight="true" outlineLevel="0" collapsed="false">
      <c r="A42" s="5" t="s">
        <v>187</v>
      </c>
      <c r="B42" s="9" t="s">
        <v>173</v>
      </c>
      <c r="C42" s="5" t="s">
        <v>188</v>
      </c>
      <c r="D42" s="5" t="s">
        <v>189</v>
      </c>
    </row>
    <row r="43" customFormat="false" ht="7.5" hidden="false" customHeight="true" outlineLevel="0" collapsed="false"/>
    <row r="44" customFormat="false" ht="18" hidden="false" customHeight="true" outlineLevel="0" collapsed="false">
      <c r="A44" s="3" t="s">
        <v>190</v>
      </c>
      <c r="B44" s="3"/>
      <c r="C44" s="3"/>
      <c r="D44" s="3"/>
    </row>
    <row r="45" customFormat="false" ht="16.5" hidden="false" customHeight="true" outlineLevel="0" collapsed="false">
      <c r="A45" s="4" t="s">
        <v>191</v>
      </c>
      <c r="B45" s="4" t="s">
        <v>166</v>
      </c>
      <c r="C45" s="4" t="s">
        <v>192</v>
      </c>
      <c r="D45" s="4" t="s">
        <v>98</v>
      </c>
    </row>
    <row r="46" customFormat="false" ht="43.5" hidden="false" customHeight="true" outlineLevel="0" collapsed="false">
      <c r="A46" s="5" t="s">
        <v>193</v>
      </c>
      <c r="B46" s="9" t="s">
        <v>185</v>
      </c>
      <c r="C46" s="5" t="s">
        <v>194</v>
      </c>
      <c r="D46" s="5" t="s">
        <v>195</v>
      </c>
    </row>
    <row r="47" customFormat="false" ht="30" hidden="false" customHeight="true" outlineLevel="0" collapsed="false">
      <c r="A47" s="5" t="s">
        <v>196</v>
      </c>
      <c r="B47" s="9" t="s">
        <v>197</v>
      </c>
      <c r="C47" s="5" t="s">
        <v>198</v>
      </c>
      <c r="D47" s="5" t="s">
        <v>199</v>
      </c>
    </row>
    <row r="48" customFormat="false" ht="43.5" hidden="false" customHeight="true" outlineLevel="0" collapsed="false">
      <c r="A48" s="5" t="s">
        <v>200</v>
      </c>
      <c r="B48" s="9" t="s">
        <v>201</v>
      </c>
      <c r="C48" s="5" t="s">
        <v>202</v>
      </c>
      <c r="D48" s="5" t="s">
        <v>203</v>
      </c>
    </row>
    <row r="49" customFormat="false" ht="7.5" hidden="false" customHeight="true" outlineLevel="0" collapsed="false"/>
    <row r="50" customFormat="false" ht="18" hidden="false" customHeight="true" outlineLevel="0" collapsed="false">
      <c r="A50" s="3" t="s">
        <v>204</v>
      </c>
      <c r="B50" s="3"/>
      <c r="C50" s="3"/>
      <c r="D50" s="3"/>
    </row>
    <row r="51" customFormat="false" ht="16.5" hidden="false" customHeight="true" outlineLevel="0" collapsed="false">
      <c r="A51" s="4" t="s">
        <v>205</v>
      </c>
      <c r="B51" s="4" t="s">
        <v>166</v>
      </c>
      <c r="C51" s="4" t="s">
        <v>206</v>
      </c>
      <c r="D51" s="4" t="s">
        <v>98</v>
      </c>
    </row>
    <row r="52" customFormat="false" ht="30" hidden="false" customHeight="true" outlineLevel="0" collapsed="false">
      <c r="A52" s="5" t="s">
        <v>207</v>
      </c>
      <c r="B52" s="9" t="s">
        <v>142</v>
      </c>
      <c r="C52" s="5" t="s">
        <v>208</v>
      </c>
      <c r="D52" s="5" t="s">
        <v>209</v>
      </c>
    </row>
    <row r="53" customFormat="false" ht="30" hidden="false" customHeight="true" outlineLevel="0" collapsed="false">
      <c r="A53" s="5" t="s">
        <v>210</v>
      </c>
      <c r="B53" s="9" t="s">
        <v>211</v>
      </c>
      <c r="C53" s="5" t="s">
        <v>212</v>
      </c>
      <c r="D53" s="5" t="s">
        <v>213</v>
      </c>
    </row>
    <row r="54" customFormat="false" ht="16.5" hidden="false" customHeight="true" outlineLevel="0" collapsed="false">
      <c r="A54" s="5" t="s">
        <v>214</v>
      </c>
      <c r="B54" s="9" t="s">
        <v>142</v>
      </c>
      <c r="C54" s="5" t="s">
        <v>215</v>
      </c>
      <c r="D54" s="5" t="s">
        <v>216</v>
      </c>
    </row>
    <row r="55" customFormat="false" ht="30" hidden="false" customHeight="true" outlineLevel="0" collapsed="false">
      <c r="A55" s="5" t="s">
        <v>217</v>
      </c>
      <c r="B55" s="9" t="s">
        <v>181</v>
      </c>
      <c r="C55" s="5" t="s">
        <v>218</v>
      </c>
      <c r="D55" s="5" t="s">
        <v>219</v>
      </c>
    </row>
    <row r="56" customFormat="false" ht="43.5" hidden="false" customHeight="true" outlineLevel="0" collapsed="false">
      <c r="A56" s="5" t="s">
        <v>220</v>
      </c>
      <c r="B56" s="9" t="s">
        <v>221</v>
      </c>
      <c r="C56" s="5" t="s">
        <v>222</v>
      </c>
      <c r="D56" s="5" t="s">
        <v>223</v>
      </c>
    </row>
    <row r="57" customFormat="false" ht="30" hidden="false" customHeight="true" outlineLevel="0" collapsed="false">
      <c r="A57" s="5" t="s">
        <v>224</v>
      </c>
      <c r="B57" s="9" t="s">
        <v>225</v>
      </c>
      <c r="C57" s="5" t="s">
        <v>226</v>
      </c>
      <c r="D57" s="5" t="s">
        <v>227</v>
      </c>
    </row>
    <row r="58" customFormat="false" ht="43.5" hidden="false" customHeight="true" outlineLevel="0" collapsed="false">
      <c r="A58" s="5" t="s">
        <v>228</v>
      </c>
      <c r="B58" s="9" t="s">
        <v>142</v>
      </c>
      <c r="C58" s="5" t="s">
        <v>229</v>
      </c>
      <c r="D58" s="5" t="s">
        <v>230</v>
      </c>
    </row>
    <row r="59" customFormat="false" ht="30" hidden="false" customHeight="true" outlineLevel="0" collapsed="false">
      <c r="A59" s="5" t="s">
        <v>231</v>
      </c>
      <c r="B59" s="9" t="s">
        <v>232</v>
      </c>
      <c r="C59" s="5" t="s">
        <v>233</v>
      </c>
      <c r="D59" s="5" t="s">
        <v>234</v>
      </c>
    </row>
    <row r="60" customFormat="false" ht="43.5" hidden="false" customHeight="true" outlineLevel="0" collapsed="false">
      <c r="A60" s="5" t="s">
        <v>235</v>
      </c>
      <c r="B60" s="9" t="s">
        <v>236</v>
      </c>
      <c r="C60" s="5" t="s">
        <v>237</v>
      </c>
      <c r="D60" s="5" t="s">
        <v>238</v>
      </c>
    </row>
    <row r="61" customFormat="false" ht="30" hidden="false" customHeight="true" outlineLevel="0" collapsed="false">
      <c r="A61" s="5" t="s">
        <v>239</v>
      </c>
      <c r="B61" s="9" t="s">
        <v>185</v>
      </c>
      <c r="C61" s="5" t="s">
        <v>240</v>
      </c>
      <c r="D61" s="5" t="s">
        <v>241</v>
      </c>
    </row>
    <row r="62" customFormat="false" ht="30" hidden="false" customHeight="true" outlineLevel="0" collapsed="false">
      <c r="A62" s="5" t="s">
        <v>242</v>
      </c>
      <c r="B62" s="9" t="s">
        <v>243</v>
      </c>
      <c r="C62" s="5" t="s">
        <v>244</v>
      </c>
      <c r="D62" s="5" t="s">
        <v>245</v>
      </c>
    </row>
    <row r="63" customFormat="false" ht="30" hidden="false" customHeight="true" outlineLevel="0" collapsed="false">
      <c r="A63" s="5" t="s">
        <v>246</v>
      </c>
      <c r="B63" s="9" t="s">
        <v>247</v>
      </c>
      <c r="C63" s="5" t="s">
        <v>248</v>
      </c>
      <c r="D63" s="5" t="s">
        <v>249</v>
      </c>
    </row>
    <row r="64" customFormat="false" ht="30" hidden="false" customHeight="true" outlineLevel="0" collapsed="false">
      <c r="A64" s="5" t="s">
        <v>250</v>
      </c>
      <c r="B64" s="9" t="s">
        <v>211</v>
      </c>
      <c r="C64" s="5" t="s">
        <v>251</v>
      </c>
      <c r="D64" s="5"/>
    </row>
    <row r="65" customFormat="false" ht="30" hidden="false" customHeight="true" outlineLevel="0" collapsed="false">
      <c r="A65" s="5" t="s">
        <v>252</v>
      </c>
      <c r="B65" s="9" t="s">
        <v>211</v>
      </c>
      <c r="C65" s="5" t="s">
        <v>251</v>
      </c>
      <c r="D65" s="5"/>
    </row>
    <row r="66" customFormat="false" ht="7.5" hidden="false" customHeight="true" outlineLevel="0" collapsed="false"/>
    <row r="67" customFormat="false" ht="18" hidden="false" customHeight="true" outlineLevel="0" collapsed="false">
      <c r="A67" s="3" t="s">
        <v>253</v>
      </c>
      <c r="B67" s="3"/>
      <c r="C67" s="3"/>
      <c r="D67" s="3"/>
    </row>
    <row r="68" customFormat="false" ht="30" hidden="false" customHeight="true" outlineLevel="0" collapsed="false">
      <c r="A68" s="4" t="s">
        <v>254</v>
      </c>
      <c r="B68" s="4" t="s">
        <v>166</v>
      </c>
      <c r="C68" s="4" t="s">
        <v>255</v>
      </c>
      <c r="D68" s="4" t="s">
        <v>98</v>
      </c>
    </row>
    <row r="69" customFormat="false" ht="30" hidden="false" customHeight="true" outlineLevel="0" collapsed="false">
      <c r="A69" s="5" t="s">
        <v>256</v>
      </c>
      <c r="B69" s="9" t="s">
        <v>221</v>
      </c>
      <c r="C69" s="5" t="s">
        <v>257</v>
      </c>
      <c r="D69" s="5" t="s">
        <v>258</v>
      </c>
    </row>
    <row r="70" customFormat="false" ht="30" hidden="false" customHeight="true" outlineLevel="0" collapsed="false">
      <c r="A70" s="5" t="s">
        <v>259</v>
      </c>
      <c r="B70" s="9" t="s">
        <v>211</v>
      </c>
      <c r="C70" s="5" t="s">
        <v>257</v>
      </c>
      <c r="D70" s="5" t="s">
        <v>260</v>
      </c>
    </row>
    <row r="71" customFormat="false" ht="30" hidden="false" customHeight="true" outlineLevel="0" collapsed="false">
      <c r="A71" s="5" t="s">
        <v>261</v>
      </c>
      <c r="B71" s="9" t="s">
        <v>142</v>
      </c>
      <c r="C71" s="5" t="s">
        <v>257</v>
      </c>
      <c r="D71" s="5" t="s">
        <v>262</v>
      </c>
    </row>
    <row r="72" customFormat="false" ht="30" hidden="false" customHeight="true" outlineLevel="0" collapsed="false">
      <c r="A72" s="5" t="s">
        <v>263</v>
      </c>
      <c r="B72" s="9" t="s">
        <v>247</v>
      </c>
      <c r="C72" s="5" t="s">
        <v>264</v>
      </c>
      <c r="D72" s="5" t="s">
        <v>265</v>
      </c>
    </row>
    <row r="73" customFormat="false" ht="30" hidden="false" customHeight="true" outlineLevel="0" collapsed="false">
      <c r="A73" s="5" t="s">
        <v>266</v>
      </c>
      <c r="B73" s="9" t="s">
        <v>267</v>
      </c>
      <c r="C73" s="5" t="s">
        <v>268</v>
      </c>
      <c r="D73" s="5" t="s">
        <v>269</v>
      </c>
    </row>
    <row r="74" customFormat="false" ht="7.5" hidden="false" customHeight="true" outlineLevel="0" collapsed="false"/>
    <row r="75" customFormat="false" ht="18" hidden="false" customHeight="true" outlineLevel="0" collapsed="false">
      <c r="A75" s="3" t="s">
        <v>270</v>
      </c>
      <c r="B75" s="3"/>
      <c r="C75" s="3"/>
      <c r="D75" s="3"/>
    </row>
    <row r="76" customFormat="false" ht="16.5" hidden="false" customHeight="true" outlineLevel="0" collapsed="false">
      <c r="A76" s="4" t="s">
        <v>205</v>
      </c>
      <c r="B76" s="4" t="s">
        <v>123</v>
      </c>
      <c r="C76" s="4" t="s">
        <v>271</v>
      </c>
      <c r="D76" s="4" t="s">
        <v>98</v>
      </c>
    </row>
    <row r="77" customFormat="false" ht="30" hidden="false" customHeight="true" outlineLevel="0" collapsed="false">
      <c r="A77" s="5" t="s">
        <v>272</v>
      </c>
      <c r="B77" s="9" t="s">
        <v>273</v>
      </c>
      <c r="C77" s="5" t="s">
        <v>274</v>
      </c>
      <c r="D77" s="5" t="s">
        <v>275</v>
      </c>
    </row>
    <row r="78" customFormat="false" ht="16.5" hidden="false" customHeight="true" outlineLevel="0" collapsed="false">
      <c r="A78" s="5" t="s">
        <v>276</v>
      </c>
      <c r="B78" s="9" t="s">
        <v>277</v>
      </c>
      <c r="C78" s="5" t="s">
        <v>278</v>
      </c>
      <c r="D78" s="5" t="s">
        <v>279</v>
      </c>
    </row>
    <row r="79" customFormat="false" ht="30" hidden="false" customHeight="true" outlineLevel="0" collapsed="false">
      <c r="A79" s="5" t="s">
        <v>280</v>
      </c>
      <c r="B79" s="9" t="s">
        <v>281</v>
      </c>
      <c r="C79" s="5" t="s">
        <v>282</v>
      </c>
      <c r="D79" s="5" t="s">
        <v>283</v>
      </c>
    </row>
    <row r="80" customFormat="false" ht="30" hidden="false" customHeight="true" outlineLevel="0" collapsed="false">
      <c r="A80" s="5" t="s">
        <v>284</v>
      </c>
      <c r="B80" s="9" t="s">
        <v>285</v>
      </c>
      <c r="C80" s="5" t="s">
        <v>286</v>
      </c>
      <c r="D80" s="5" t="s">
        <v>287</v>
      </c>
    </row>
    <row r="81" customFormat="false" ht="43.5" hidden="false" customHeight="true" outlineLevel="0" collapsed="false">
      <c r="A81" s="5" t="s">
        <v>288</v>
      </c>
      <c r="B81" s="9" t="s">
        <v>273</v>
      </c>
      <c r="C81" s="5" t="s">
        <v>289</v>
      </c>
      <c r="D81" s="5" t="s">
        <v>290</v>
      </c>
    </row>
    <row r="82" customFormat="false" ht="30" hidden="false" customHeight="true" outlineLevel="0" collapsed="false">
      <c r="A82" s="5" t="s">
        <v>291</v>
      </c>
      <c r="B82" s="9" t="s">
        <v>292</v>
      </c>
      <c r="C82" s="5" t="s">
        <v>293</v>
      </c>
      <c r="D82" s="5" t="s">
        <v>294</v>
      </c>
    </row>
    <row r="83" customFormat="false" ht="7.5" hidden="false" customHeight="true" outlineLevel="0" collapsed="false"/>
    <row r="84" customFormat="false" ht="18" hidden="false" customHeight="true" outlineLevel="0" collapsed="false">
      <c r="A84" s="3" t="s">
        <v>295</v>
      </c>
      <c r="B84" s="3"/>
      <c r="C84" s="3"/>
      <c r="D84" s="3"/>
    </row>
    <row r="85" customFormat="false" ht="16.5" hidden="false" customHeight="true" outlineLevel="0" collapsed="false">
      <c r="A85" s="4" t="s">
        <v>205</v>
      </c>
      <c r="B85" s="4" t="s">
        <v>123</v>
      </c>
      <c r="C85" s="4" t="s">
        <v>271</v>
      </c>
      <c r="D85" s="4" t="s">
        <v>98</v>
      </c>
    </row>
    <row r="86" customFormat="false" ht="43.5" hidden="false" customHeight="true" outlineLevel="0" collapsed="false">
      <c r="A86" s="11" t="s">
        <v>296</v>
      </c>
      <c r="B86" s="11" t="s">
        <v>297</v>
      </c>
      <c r="C86" s="11" t="s">
        <v>298</v>
      </c>
      <c r="D86" s="11" t="s">
        <v>299</v>
      </c>
    </row>
    <row r="87" customFormat="false" ht="43.5" hidden="false" customHeight="true" outlineLevel="0" collapsed="false">
      <c r="A87" s="5" t="s">
        <v>300</v>
      </c>
      <c r="B87" s="9" t="s">
        <v>301</v>
      </c>
      <c r="C87" s="5" t="s">
        <v>302</v>
      </c>
      <c r="D87" s="5" t="s">
        <v>303</v>
      </c>
    </row>
    <row r="88" customFormat="false" ht="43.5" hidden="false" customHeight="true" outlineLevel="0" collapsed="false">
      <c r="A88" s="5" t="s">
        <v>304</v>
      </c>
      <c r="B88" s="9" t="s">
        <v>305</v>
      </c>
      <c r="C88" s="5" t="s">
        <v>306</v>
      </c>
      <c r="D88" s="5" t="s">
        <v>307</v>
      </c>
    </row>
    <row r="89" customFormat="false" ht="30" hidden="false" customHeight="true" outlineLevel="0" collapsed="false">
      <c r="A89" s="5" t="s">
        <v>308</v>
      </c>
      <c r="B89" s="9" t="s">
        <v>309</v>
      </c>
      <c r="C89" s="5" t="s">
        <v>310</v>
      </c>
      <c r="D89" s="5" t="s">
        <v>311</v>
      </c>
    </row>
    <row r="90" customFormat="false" ht="30" hidden="false" customHeight="true" outlineLevel="0" collapsed="false">
      <c r="A90" s="5" t="s">
        <v>312</v>
      </c>
      <c r="B90" s="9" t="s">
        <v>313</v>
      </c>
      <c r="C90" s="5" t="s">
        <v>314</v>
      </c>
      <c r="D90" s="5"/>
    </row>
    <row r="91" customFormat="false" ht="30" hidden="false" customHeight="true" outlineLevel="0" collapsed="false">
      <c r="A91" s="5" t="s">
        <v>315</v>
      </c>
      <c r="B91" s="9" t="s">
        <v>316</v>
      </c>
      <c r="C91" s="5" t="s">
        <v>317</v>
      </c>
      <c r="D91" s="5" t="s">
        <v>318</v>
      </c>
    </row>
    <row r="92" customFormat="false" ht="7.5" hidden="false" customHeight="true" outlineLevel="0" collapsed="false"/>
    <row r="93" customFormat="false" ht="30" hidden="false" customHeight="true" outlineLevel="0" collapsed="false">
      <c r="A93" s="4" t="s">
        <v>319</v>
      </c>
      <c r="B93" s="4" t="s">
        <v>166</v>
      </c>
      <c r="C93" s="4" t="s">
        <v>206</v>
      </c>
      <c r="D93" s="4" t="s">
        <v>98</v>
      </c>
    </row>
    <row r="94" customFormat="false" ht="30" hidden="false" customHeight="true" outlineLevel="0" collapsed="false">
      <c r="A94" s="5" t="s">
        <v>320</v>
      </c>
      <c r="B94" s="9" t="s">
        <v>321</v>
      </c>
      <c r="C94" s="5" t="s">
        <v>322</v>
      </c>
      <c r="D94" s="5" t="s">
        <v>323</v>
      </c>
    </row>
    <row r="95" customFormat="false" ht="30" hidden="false" customHeight="true" outlineLevel="0" collapsed="false">
      <c r="A95" s="5" t="s">
        <v>324</v>
      </c>
      <c r="B95" s="9" t="s">
        <v>321</v>
      </c>
      <c r="C95" s="5" t="s">
        <v>325</v>
      </c>
      <c r="D95" s="5"/>
    </row>
    <row r="96" customFormat="false" ht="30" hidden="false" customHeight="true" outlineLevel="0" collapsed="false">
      <c r="A96" s="5" t="s">
        <v>326</v>
      </c>
      <c r="B96" s="9" t="s">
        <v>321</v>
      </c>
      <c r="C96" s="5" t="s">
        <v>325</v>
      </c>
      <c r="D96" s="5"/>
    </row>
    <row r="97" customFormat="false" ht="30" hidden="false" customHeight="true" outlineLevel="0" collapsed="false">
      <c r="A97" s="5" t="s">
        <v>327</v>
      </c>
      <c r="B97" s="9" t="s">
        <v>181</v>
      </c>
      <c r="C97" s="5" t="s">
        <v>325</v>
      </c>
      <c r="D97" s="5" t="s">
        <v>328</v>
      </c>
    </row>
    <row r="98" customFormat="false" ht="30" hidden="false" customHeight="true" outlineLevel="0" collapsed="false">
      <c r="A98" s="5" t="s">
        <v>329</v>
      </c>
      <c r="B98" s="9" t="s">
        <v>321</v>
      </c>
      <c r="C98" s="5" t="s">
        <v>325</v>
      </c>
      <c r="D98" s="5"/>
    </row>
    <row r="99" customFormat="false" ht="43.5" hidden="false" customHeight="true" outlineLevel="0" collapsed="false">
      <c r="A99" s="5" t="s">
        <v>330</v>
      </c>
      <c r="B99" s="9" t="s">
        <v>221</v>
      </c>
      <c r="C99" s="5" t="s">
        <v>331</v>
      </c>
      <c r="D99" s="5" t="s">
        <v>332</v>
      </c>
    </row>
    <row r="100" customFormat="false" ht="43.5" hidden="false" customHeight="true" outlineLevel="0" collapsed="false">
      <c r="A100" s="5" t="s">
        <v>333</v>
      </c>
      <c r="B100" s="9" t="s">
        <v>334</v>
      </c>
      <c r="C100" s="5" t="s">
        <v>335</v>
      </c>
      <c r="D100" s="5" t="s">
        <v>336</v>
      </c>
    </row>
    <row r="101" customFormat="false" ht="30" hidden="false" customHeight="true" outlineLevel="0" collapsed="false">
      <c r="A101" s="5" t="s">
        <v>337</v>
      </c>
      <c r="B101" s="9" t="s">
        <v>100</v>
      </c>
      <c r="C101" s="5"/>
      <c r="D101" s="5"/>
    </row>
    <row r="102" customFormat="false" ht="43.5" hidden="false" customHeight="true" outlineLevel="0" collapsed="false">
      <c r="A102" s="5" t="s">
        <v>338</v>
      </c>
      <c r="B102" s="9" t="s">
        <v>339</v>
      </c>
      <c r="C102" s="5"/>
      <c r="D102" s="5" t="s">
        <v>340</v>
      </c>
    </row>
    <row r="103" customFormat="false" ht="30" hidden="false" customHeight="true" outlineLevel="0" collapsed="false">
      <c r="A103" s="5" t="s">
        <v>341</v>
      </c>
      <c r="B103" s="9" t="s">
        <v>342</v>
      </c>
      <c r="C103" s="5" t="s">
        <v>335</v>
      </c>
      <c r="D103" s="5"/>
    </row>
    <row r="104" customFormat="false" ht="30" hidden="false" customHeight="true" outlineLevel="0" collapsed="false">
      <c r="A104" s="5" t="s">
        <v>343</v>
      </c>
      <c r="B104" s="9" t="s">
        <v>181</v>
      </c>
      <c r="C104" s="5" t="s">
        <v>344</v>
      </c>
      <c r="D104" s="5" t="s">
        <v>345</v>
      </c>
    </row>
    <row r="105" customFormat="false" ht="30" hidden="false" customHeight="true" outlineLevel="0" collapsed="false">
      <c r="A105" s="5" t="s">
        <v>346</v>
      </c>
      <c r="B105" s="9" t="s">
        <v>347</v>
      </c>
      <c r="C105" s="5" t="s">
        <v>348</v>
      </c>
      <c r="D105" s="5" t="s">
        <v>349</v>
      </c>
    </row>
    <row r="106" customFormat="false" ht="30" hidden="false" customHeight="true" outlineLevel="0" collapsed="false">
      <c r="A106" s="5" t="s">
        <v>350</v>
      </c>
      <c r="B106" s="9" t="s">
        <v>221</v>
      </c>
      <c r="C106" s="5" t="s">
        <v>335</v>
      </c>
      <c r="D106" s="5" t="s">
        <v>351</v>
      </c>
    </row>
    <row r="107" customFormat="false" ht="30" hidden="false" customHeight="true" outlineLevel="0" collapsed="false">
      <c r="A107" s="5" t="s">
        <v>352</v>
      </c>
      <c r="B107" s="9" t="s">
        <v>185</v>
      </c>
      <c r="C107" s="5" t="s">
        <v>335</v>
      </c>
      <c r="D107" s="5"/>
    </row>
    <row r="108" customFormat="false" ht="30" hidden="false" customHeight="true" outlineLevel="0" collapsed="false">
      <c r="A108" s="5" t="s">
        <v>353</v>
      </c>
      <c r="B108" s="9" t="s">
        <v>354</v>
      </c>
      <c r="C108" s="5" t="s">
        <v>335</v>
      </c>
      <c r="D108" s="5"/>
    </row>
    <row r="109" customFormat="false" ht="30" hidden="false" customHeight="true" outlineLevel="0" collapsed="false">
      <c r="A109" s="5" t="s">
        <v>355</v>
      </c>
      <c r="B109" s="9" t="s">
        <v>356</v>
      </c>
      <c r="C109" s="5" t="s">
        <v>335</v>
      </c>
      <c r="D109" s="5"/>
    </row>
    <row r="110" customFormat="false" ht="30" hidden="false" customHeight="true" outlineLevel="0" collapsed="false">
      <c r="A110" s="5" t="s">
        <v>357</v>
      </c>
      <c r="B110" s="9" t="s">
        <v>221</v>
      </c>
      <c r="C110" s="5" t="s">
        <v>358</v>
      </c>
      <c r="D110" s="5"/>
    </row>
    <row r="111" customFormat="false" ht="56.25" hidden="false" customHeight="true" outlineLevel="0" collapsed="false">
      <c r="A111" s="5" t="s">
        <v>359</v>
      </c>
      <c r="B111" s="9" t="s">
        <v>360</v>
      </c>
      <c r="C111" s="5" t="s">
        <v>361</v>
      </c>
      <c r="D111" s="5" t="s">
        <v>362</v>
      </c>
    </row>
    <row r="112" customFormat="false" ht="43.5" hidden="false" customHeight="true" outlineLevel="0" collapsed="false">
      <c r="A112" s="5" t="s">
        <v>363</v>
      </c>
      <c r="B112" s="9" t="s">
        <v>364</v>
      </c>
      <c r="C112" s="5" t="s">
        <v>365</v>
      </c>
      <c r="D112" s="5"/>
    </row>
    <row r="113" customFormat="false" ht="30" hidden="false" customHeight="true" outlineLevel="0" collapsed="false">
      <c r="A113" s="11" t="s">
        <v>366</v>
      </c>
      <c r="B113" s="11" t="s">
        <v>367</v>
      </c>
      <c r="C113" s="11" t="s">
        <v>368</v>
      </c>
      <c r="D113" s="11" t="s">
        <v>369</v>
      </c>
    </row>
    <row r="114" customFormat="false" ht="7.5" hidden="false" customHeight="true" outlineLevel="0" collapsed="false"/>
    <row r="115" customFormat="false" ht="18" hidden="false" customHeight="true" outlineLevel="0" collapsed="false">
      <c r="A115" s="3" t="s">
        <v>370</v>
      </c>
      <c r="B115" s="3"/>
      <c r="C115" s="3"/>
      <c r="D115" s="3"/>
    </row>
    <row r="116" customFormat="false" ht="16.5" hidden="false" customHeight="true" outlineLevel="0" collapsed="false">
      <c r="A116" s="4" t="s">
        <v>371</v>
      </c>
      <c r="B116" s="4" t="s">
        <v>166</v>
      </c>
      <c r="C116" s="4" t="s">
        <v>372</v>
      </c>
      <c r="D116" s="4" t="s">
        <v>98</v>
      </c>
    </row>
    <row r="117" customFormat="false" ht="30" hidden="false" customHeight="true" outlineLevel="0" collapsed="false">
      <c r="A117" s="5" t="s">
        <v>373</v>
      </c>
      <c r="B117" s="9" t="s">
        <v>374</v>
      </c>
      <c r="C117" s="5" t="s">
        <v>375</v>
      </c>
      <c r="D117" s="5" t="s">
        <v>376</v>
      </c>
    </row>
    <row r="118" customFormat="false" ht="16.5" hidden="false" customHeight="true" outlineLevel="0" collapsed="false">
      <c r="A118" s="5" t="s">
        <v>377</v>
      </c>
      <c r="B118" s="9" t="s">
        <v>378</v>
      </c>
      <c r="C118" s="5" t="s">
        <v>379</v>
      </c>
      <c r="D118" s="5" t="s">
        <v>380</v>
      </c>
    </row>
    <row r="119" customFormat="false" ht="30" hidden="false" customHeight="true" outlineLevel="0" collapsed="false">
      <c r="A119" s="5" t="s">
        <v>381</v>
      </c>
      <c r="B119" s="9" t="s">
        <v>382</v>
      </c>
      <c r="C119" s="5" t="s">
        <v>383</v>
      </c>
      <c r="D119" s="5" t="s">
        <v>384</v>
      </c>
    </row>
    <row r="120" customFormat="false" ht="7.5" hidden="false" customHeight="true" outlineLevel="0" collapsed="false"/>
    <row r="121" customFormat="false" ht="18" hidden="false" customHeight="true" outlineLevel="0" collapsed="false">
      <c r="A121" s="3" t="s">
        <v>385</v>
      </c>
      <c r="B121" s="3"/>
      <c r="C121" s="3"/>
      <c r="D121" s="3"/>
    </row>
    <row r="122" customFormat="false" ht="16.5" hidden="false" customHeight="true" outlineLevel="0" collapsed="false">
      <c r="A122" s="4" t="s">
        <v>205</v>
      </c>
      <c r="B122" s="4" t="s">
        <v>123</v>
      </c>
      <c r="C122" s="4" t="s">
        <v>386</v>
      </c>
      <c r="D122" s="4" t="s">
        <v>98</v>
      </c>
    </row>
    <row r="123" customFormat="false" ht="30" hidden="false" customHeight="true" outlineLevel="0" collapsed="false">
      <c r="A123" s="5" t="s">
        <v>387</v>
      </c>
      <c r="B123" s="9" t="s">
        <v>388</v>
      </c>
      <c r="C123" s="5" t="s">
        <v>389</v>
      </c>
      <c r="D123" s="5" t="s">
        <v>390</v>
      </c>
    </row>
    <row r="124" customFormat="false" ht="16.5" hidden="false" customHeight="true" outlineLevel="0" collapsed="false">
      <c r="A124" s="5" t="s">
        <v>391</v>
      </c>
      <c r="B124" s="9" t="s">
        <v>392</v>
      </c>
      <c r="C124" s="5" t="s">
        <v>393</v>
      </c>
      <c r="D124" s="5"/>
    </row>
    <row r="125" customFormat="false" ht="16.5" hidden="false" customHeight="true" outlineLevel="0" collapsed="false">
      <c r="A125" s="5" t="s">
        <v>394</v>
      </c>
      <c r="B125" s="9" t="s">
        <v>392</v>
      </c>
      <c r="C125" s="5" t="s">
        <v>393</v>
      </c>
      <c r="D125" s="5"/>
    </row>
    <row r="126" customFormat="false" ht="30" hidden="false" customHeight="true" outlineLevel="0" collapsed="false">
      <c r="A126" s="5" t="s">
        <v>395</v>
      </c>
      <c r="B126" s="9" t="s">
        <v>396</v>
      </c>
      <c r="C126" s="5" t="s">
        <v>397</v>
      </c>
      <c r="D126" s="5" t="s">
        <v>398</v>
      </c>
    </row>
    <row r="127" customFormat="false" ht="16.5" hidden="false" customHeight="true" outlineLevel="0" collapsed="false">
      <c r="A127" s="5" t="s">
        <v>399</v>
      </c>
      <c r="B127" s="9" t="s">
        <v>400</v>
      </c>
      <c r="C127" s="5" t="s">
        <v>397</v>
      </c>
      <c r="D127" s="5" t="s">
        <v>401</v>
      </c>
    </row>
    <row r="128" customFormat="false" ht="30" hidden="false" customHeight="true" outlineLevel="0" collapsed="false">
      <c r="A128" s="5" t="s">
        <v>402</v>
      </c>
      <c r="B128" s="9" t="s">
        <v>403</v>
      </c>
      <c r="C128" s="5" t="s">
        <v>397</v>
      </c>
      <c r="D128" s="5"/>
    </row>
    <row r="129" customFormat="false" ht="16.5" hidden="false" customHeight="true" outlineLevel="0" collapsed="false">
      <c r="A129" s="5" t="s">
        <v>404</v>
      </c>
      <c r="B129" s="9" t="s">
        <v>405</v>
      </c>
      <c r="C129" s="5" t="s">
        <v>397</v>
      </c>
      <c r="D129" s="5" t="s">
        <v>406</v>
      </c>
    </row>
    <row r="130" customFormat="false" ht="30" hidden="false" customHeight="true" outlineLevel="0" collapsed="false">
      <c r="A130" s="5" t="s">
        <v>407</v>
      </c>
      <c r="B130" s="9" t="s">
        <v>408</v>
      </c>
      <c r="C130" s="5"/>
      <c r="D130" s="5" t="s">
        <v>409</v>
      </c>
    </row>
    <row r="131" customFormat="false" ht="30" hidden="false" customHeight="true" outlineLevel="0" collapsed="false">
      <c r="A131" s="5" t="s">
        <v>410</v>
      </c>
      <c r="B131" s="9" t="s">
        <v>411</v>
      </c>
      <c r="C131" s="5"/>
      <c r="D131" s="5" t="s">
        <v>412</v>
      </c>
    </row>
    <row r="132" customFormat="false" ht="7.5" hidden="false" customHeight="true" outlineLevel="0" collapsed="false"/>
    <row r="133" customFormat="false" ht="18" hidden="false" customHeight="true" outlineLevel="0" collapsed="false">
      <c r="A133" s="3" t="s">
        <v>413</v>
      </c>
      <c r="B133" s="3"/>
      <c r="C133" s="3"/>
      <c r="D133" s="3"/>
    </row>
    <row r="134" customFormat="false" ht="16.5" hidden="false" customHeight="true" outlineLevel="0" collapsed="false">
      <c r="A134" s="4" t="s">
        <v>205</v>
      </c>
      <c r="B134" s="4" t="s">
        <v>123</v>
      </c>
      <c r="C134" s="4" t="s">
        <v>255</v>
      </c>
      <c r="D134" s="4" t="s">
        <v>98</v>
      </c>
    </row>
    <row r="135" customFormat="false" ht="30" hidden="false" customHeight="true" outlineLevel="0" collapsed="false">
      <c r="A135" s="5" t="s">
        <v>414</v>
      </c>
      <c r="B135" s="9" t="s">
        <v>142</v>
      </c>
      <c r="C135" s="5" t="s">
        <v>415</v>
      </c>
      <c r="D135" s="5" t="s">
        <v>416</v>
      </c>
    </row>
    <row r="136" customFormat="false" ht="30" hidden="false" customHeight="true" outlineLevel="0" collapsed="false">
      <c r="A136" s="5" t="s">
        <v>417</v>
      </c>
      <c r="B136" s="9" t="s">
        <v>418</v>
      </c>
      <c r="C136" s="5" t="s">
        <v>419</v>
      </c>
      <c r="D136" s="5" t="s">
        <v>420</v>
      </c>
    </row>
    <row r="137" customFormat="false" ht="30" hidden="false" customHeight="true" outlineLevel="0" collapsed="false">
      <c r="A137" s="5" t="s">
        <v>421</v>
      </c>
      <c r="B137" s="9" t="s">
        <v>422</v>
      </c>
      <c r="C137" s="5" t="s">
        <v>423</v>
      </c>
      <c r="D137" s="5" t="s">
        <v>424</v>
      </c>
    </row>
    <row r="138" customFormat="false" ht="30" hidden="false" customHeight="true" outlineLevel="0" collapsed="false">
      <c r="A138" s="5" t="s">
        <v>425</v>
      </c>
      <c r="B138" s="9" t="s">
        <v>297</v>
      </c>
      <c r="C138" s="5" t="s">
        <v>426</v>
      </c>
      <c r="D138" s="5" t="s">
        <v>427</v>
      </c>
    </row>
    <row r="139" customFormat="false" ht="30" hidden="false" customHeight="true" outlineLevel="0" collapsed="false">
      <c r="A139" s="5" t="s">
        <v>428</v>
      </c>
      <c r="B139" s="9" t="s">
        <v>429</v>
      </c>
      <c r="C139" s="5" t="s">
        <v>430</v>
      </c>
      <c r="D139" s="5" t="s">
        <v>431</v>
      </c>
    </row>
    <row r="140" customFormat="false" ht="30" hidden="false" customHeight="true" outlineLevel="0" collapsed="false">
      <c r="A140" s="5" t="s">
        <v>432</v>
      </c>
      <c r="B140" s="9" t="s">
        <v>433</v>
      </c>
      <c r="C140" s="5" t="s">
        <v>434</v>
      </c>
      <c r="D140" s="5"/>
    </row>
    <row r="141" customFormat="false" ht="30" hidden="false" customHeight="true" outlineLevel="0" collapsed="false">
      <c r="A141" s="5" t="s">
        <v>435</v>
      </c>
      <c r="B141" s="9" t="s">
        <v>436</v>
      </c>
      <c r="C141" s="5" t="s">
        <v>437</v>
      </c>
      <c r="D141" s="5"/>
    </row>
    <row r="142" customFormat="false" ht="30" hidden="false" customHeight="true" outlineLevel="0" collapsed="false">
      <c r="A142" s="5" t="s">
        <v>438</v>
      </c>
      <c r="B142" s="9" t="s">
        <v>439</v>
      </c>
      <c r="C142" s="5" t="s">
        <v>430</v>
      </c>
      <c r="D142" s="5"/>
    </row>
    <row r="143" customFormat="false" ht="7.5" hidden="false" customHeight="true" outlineLevel="0" collapsed="false"/>
    <row r="144" customFormat="false" ht="18" hidden="false" customHeight="true" outlineLevel="0" collapsed="false">
      <c r="A144" s="3" t="s">
        <v>440</v>
      </c>
      <c r="B144" s="3"/>
      <c r="C144" s="3"/>
      <c r="D144" s="3"/>
    </row>
    <row r="145" customFormat="false" ht="16.5" hidden="false" customHeight="true" outlineLevel="0" collapsed="false">
      <c r="A145" s="4" t="s">
        <v>205</v>
      </c>
      <c r="B145" s="4" t="s">
        <v>123</v>
      </c>
      <c r="C145" s="4" t="s">
        <v>255</v>
      </c>
      <c r="D145" s="4" t="s">
        <v>98</v>
      </c>
    </row>
    <row r="146" customFormat="false" ht="30" hidden="false" customHeight="true" outlineLevel="0" collapsed="false">
      <c r="A146" s="5" t="s">
        <v>441</v>
      </c>
      <c r="B146" s="9" t="s">
        <v>211</v>
      </c>
      <c r="C146" s="5" t="s">
        <v>442</v>
      </c>
      <c r="D146" s="5" t="s">
        <v>443</v>
      </c>
    </row>
    <row r="147" customFormat="false" ht="43.5" hidden="false" customHeight="true" outlineLevel="0" collapsed="false">
      <c r="A147" s="5" t="s">
        <v>444</v>
      </c>
      <c r="B147" s="9" t="s">
        <v>445</v>
      </c>
      <c r="C147" s="5" t="s">
        <v>446</v>
      </c>
      <c r="D147" s="5" t="s">
        <v>369</v>
      </c>
    </row>
    <row r="148" customFormat="false" ht="30" hidden="false" customHeight="true" outlineLevel="0" collapsed="false">
      <c r="A148" s="5" t="s">
        <v>447</v>
      </c>
      <c r="B148" s="9" t="s">
        <v>445</v>
      </c>
      <c r="C148" s="5" t="s">
        <v>448</v>
      </c>
      <c r="D148" s="5"/>
    </row>
    <row r="149" customFormat="false" ht="30" hidden="false" customHeight="true" outlineLevel="0" collapsed="false">
      <c r="A149" s="5" t="s">
        <v>449</v>
      </c>
      <c r="B149" s="9" t="s">
        <v>450</v>
      </c>
      <c r="C149" s="5" t="s">
        <v>451</v>
      </c>
      <c r="D149" s="5" t="s">
        <v>452</v>
      </c>
    </row>
    <row r="150" customFormat="false" ht="30" hidden="false" customHeight="true" outlineLevel="0" collapsed="false">
      <c r="A150" s="5" t="s">
        <v>453</v>
      </c>
      <c r="B150" s="9" t="s">
        <v>454</v>
      </c>
      <c r="C150" s="5" t="s">
        <v>455</v>
      </c>
      <c r="D150" s="5" t="s">
        <v>456</v>
      </c>
    </row>
    <row r="151" customFormat="false" ht="16.5" hidden="false" customHeight="true" outlineLevel="0" collapsed="false">
      <c r="A151" s="5" t="s">
        <v>457</v>
      </c>
      <c r="B151" s="9" t="s">
        <v>458</v>
      </c>
      <c r="C151" s="5" t="s">
        <v>459</v>
      </c>
      <c r="D151" s="5"/>
    </row>
    <row r="152" customFormat="false" ht="30" hidden="false" customHeight="true" outlineLevel="0" collapsed="false">
      <c r="A152" s="5" t="s">
        <v>460</v>
      </c>
      <c r="B152" s="9" t="s">
        <v>461</v>
      </c>
      <c r="C152" s="5" t="s">
        <v>462</v>
      </c>
      <c r="D152" s="5" t="s">
        <v>463</v>
      </c>
    </row>
    <row r="153" customFormat="false" ht="7.5" hidden="false" customHeight="true" outlineLevel="0" collapsed="false"/>
  </sheetData>
  <mergeCells count="16">
    <mergeCell ref="A1:D1"/>
    <mergeCell ref="A2:D2"/>
    <mergeCell ref="A4:D4"/>
    <mergeCell ref="A13:D13"/>
    <mergeCell ref="A20:D20"/>
    <mergeCell ref="A33:D33"/>
    <mergeCell ref="A35:D35"/>
    <mergeCell ref="A44:D44"/>
    <mergeCell ref="A50:D50"/>
    <mergeCell ref="A67:D67"/>
    <mergeCell ref="A75:D75"/>
    <mergeCell ref="A84:D84"/>
    <mergeCell ref="A115:D115"/>
    <mergeCell ref="A121:D121"/>
    <mergeCell ref="A133:D133"/>
    <mergeCell ref="A144:D14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1C1C"/>
    <pageSetUpPr fitToPage="true"/>
  </sheetPr>
  <dimension ref="A1:D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38"/>
  </cols>
  <sheetData>
    <row r="1" customFormat="false" ht="30" hidden="false" customHeight="true" outlineLevel="0" collapsed="false">
      <c r="A1" s="1" t="s">
        <v>464</v>
      </c>
      <c r="B1" s="1"/>
      <c r="C1" s="1"/>
      <c r="D1" s="1"/>
    </row>
    <row r="2" customFormat="false" ht="33" hidden="false" customHeight="true" outlineLevel="0" collapsed="false">
      <c r="A2" s="2" t="s">
        <v>465</v>
      </c>
      <c r="B2" s="2"/>
      <c r="C2" s="2"/>
      <c r="D2" s="2"/>
    </row>
    <row r="3" customFormat="false" ht="7.5" hidden="false" customHeight="true" outlineLevel="0" collapsed="false"/>
    <row r="4" customFormat="false" ht="18" hidden="false" customHeight="true" outlineLevel="0" collapsed="false">
      <c r="A4" s="3" t="s">
        <v>466</v>
      </c>
      <c r="B4" s="3"/>
      <c r="C4" s="3"/>
      <c r="D4" s="3"/>
    </row>
    <row r="5" customFormat="false" ht="16.5" hidden="false" customHeight="true" outlineLevel="0" collapsed="false">
      <c r="A5" s="4" t="s">
        <v>467</v>
      </c>
      <c r="B5" s="4" t="s">
        <v>468</v>
      </c>
      <c r="C5" s="4" t="s">
        <v>469</v>
      </c>
      <c r="D5" s="4"/>
    </row>
    <row r="6" customFormat="false" ht="56.25" hidden="false" customHeight="true" outlineLevel="0" collapsed="false">
      <c r="A6" s="5" t="s">
        <v>470</v>
      </c>
      <c r="B6" s="5" t="s">
        <v>471</v>
      </c>
      <c r="C6" s="5" t="s">
        <v>472</v>
      </c>
      <c r="D6" s="5"/>
    </row>
    <row r="7" customFormat="false" ht="43.5" hidden="false" customHeight="true" outlineLevel="0" collapsed="false">
      <c r="A7" s="5" t="s">
        <v>473</v>
      </c>
      <c r="B7" s="5" t="s">
        <v>474</v>
      </c>
      <c r="C7" s="5" t="s">
        <v>475</v>
      </c>
      <c r="D7" s="5"/>
    </row>
    <row r="8" customFormat="false" ht="30" hidden="false" customHeight="true" outlineLevel="0" collapsed="false">
      <c r="A8" s="5" t="s">
        <v>476</v>
      </c>
      <c r="B8" s="5" t="s">
        <v>477</v>
      </c>
      <c r="C8" s="5" t="s">
        <v>478</v>
      </c>
      <c r="D8" s="5"/>
    </row>
    <row r="9" customFormat="false" ht="56.25" hidden="false" customHeight="true" outlineLevel="0" collapsed="false">
      <c r="A9" s="5" t="s">
        <v>479</v>
      </c>
      <c r="B9" s="5" t="s">
        <v>480</v>
      </c>
      <c r="C9" s="5" t="s">
        <v>481</v>
      </c>
      <c r="D9" s="5"/>
    </row>
    <row r="10" customFormat="false" ht="30" hidden="false" customHeight="true" outlineLevel="0" collapsed="false">
      <c r="A10" s="5" t="s">
        <v>482</v>
      </c>
      <c r="B10" s="5" t="s">
        <v>483</v>
      </c>
      <c r="C10" s="5" t="s">
        <v>484</v>
      </c>
      <c r="D10" s="5"/>
    </row>
    <row r="11" customFormat="false" ht="43.5" hidden="false" customHeight="true" outlineLevel="0" collapsed="false">
      <c r="A11" s="5" t="s">
        <v>485</v>
      </c>
      <c r="B11" s="5" t="s">
        <v>486</v>
      </c>
      <c r="C11" s="5" t="s">
        <v>487</v>
      </c>
      <c r="D11" s="5"/>
    </row>
    <row r="12" customFormat="false" ht="30" hidden="false" customHeight="true" outlineLevel="0" collapsed="false">
      <c r="A12" s="5" t="s">
        <v>488</v>
      </c>
      <c r="B12" s="5" t="s">
        <v>489</v>
      </c>
      <c r="C12" s="5" t="s">
        <v>490</v>
      </c>
      <c r="D12" s="5"/>
    </row>
    <row r="13" customFormat="false" ht="69.75" hidden="false" customHeight="true" outlineLevel="0" collapsed="false">
      <c r="A13" s="5" t="s">
        <v>491</v>
      </c>
      <c r="B13" s="5" t="s">
        <v>492</v>
      </c>
      <c r="C13" s="5" t="s">
        <v>493</v>
      </c>
      <c r="D13" s="5"/>
    </row>
    <row r="14" customFormat="false" ht="56.25" hidden="false" customHeight="true" outlineLevel="0" collapsed="false">
      <c r="A14" s="5" t="s">
        <v>494</v>
      </c>
      <c r="B14" s="5" t="s">
        <v>495</v>
      </c>
      <c r="C14" s="5" t="s">
        <v>496</v>
      </c>
      <c r="D14" s="5"/>
    </row>
    <row r="15" customFormat="false" ht="43.5" hidden="false" customHeight="true" outlineLevel="0" collapsed="false">
      <c r="A15" s="5" t="s">
        <v>497</v>
      </c>
      <c r="B15" s="5" t="s">
        <v>498</v>
      </c>
      <c r="C15" s="5" t="s">
        <v>499</v>
      </c>
      <c r="D15" s="5"/>
    </row>
    <row r="16" customFormat="false" ht="69.75" hidden="false" customHeight="true" outlineLevel="0" collapsed="false">
      <c r="A16" s="5" t="s">
        <v>500</v>
      </c>
      <c r="B16" s="5" t="s">
        <v>501</v>
      </c>
      <c r="C16" s="5" t="s">
        <v>502</v>
      </c>
      <c r="D16" s="5"/>
    </row>
    <row r="17" customFormat="false" ht="7.5" hidden="false" customHeight="true" outlineLevel="0" collapsed="false"/>
    <row r="18" customFormat="false" ht="18" hidden="false" customHeight="true" outlineLevel="0" collapsed="false">
      <c r="A18" s="3" t="s">
        <v>503</v>
      </c>
      <c r="B18" s="3"/>
      <c r="C18" s="3"/>
      <c r="D18" s="3"/>
    </row>
    <row r="19" customFormat="false" ht="16.5" hidden="false" customHeight="true" outlineLevel="0" collapsed="false">
      <c r="A19" s="4" t="s">
        <v>504</v>
      </c>
      <c r="B19" s="4" t="s">
        <v>468</v>
      </c>
      <c r="C19" s="4" t="s">
        <v>166</v>
      </c>
      <c r="D19" s="4"/>
    </row>
    <row r="20" customFormat="false" ht="56.25" hidden="false" customHeight="true" outlineLevel="0" collapsed="false">
      <c r="A20" s="5" t="s">
        <v>505</v>
      </c>
      <c r="B20" s="5" t="s">
        <v>506</v>
      </c>
      <c r="C20" s="5" t="s">
        <v>507</v>
      </c>
      <c r="D20" s="5"/>
    </row>
    <row r="21" customFormat="false" ht="30" hidden="false" customHeight="true" outlineLevel="0" collapsed="false">
      <c r="A21" s="5" t="s">
        <v>508</v>
      </c>
      <c r="B21" s="5" t="s">
        <v>509</v>
      </c>
      <c r="C21" s="5" t="s">
        <v>510</v>
      </c>
      <c r="D21" s="5"/>
    </row>
    <row r="22" customFormat="false" ht="16.5" hidden="false" customHeight="true" outlineLevel="0" collapsed="false">
      <c r="A22" s="5" t="s">
        <v>511</v>
      </c>
      <c r="B22" s="5" t="s">
        <v>512</v>
      </c>
      <c r="C22" s="5" t="s">
        <v>221</v>
      </c>
      <c r="D22" s="5"/>
    </row>
    <row r="23" customFormat="false" ht="56.25" hidden="false" customHeight="true" outlineLevel="0" collapsed="false">
      <c r="A23" s="5" t="s">
        <v>513</v>
      </c>
      <c r="B23" s="5" t="s">
        <v>514</v>
      </c>
      <c r="C23" s="5" t="s">
        <v>515</v>
      </c>
      <c r="D23" s="5"/>
    </row>
    <row r="24" customFormat="false" ht="30" hidden="false" customHeight="true" outlineLevel="0" collapsed="false">
      <c r="A24" s="5" t="s">
        <v>516</v>
      </c>
      <c r="B24" s="5" t="s">
        <v>517</v>
      </c>
      <c r="C24" s="5" t="s">
        <v>518</v>
      </c>
      <c r="D24" s="5"/>
    </row>
    <row r="25" customFormat="false" ht="56.25" hidden="false" customHeight="true" outlineLevel="0" collapsed="false">
      <c r="A25" s="5" t="s">
        <v>519</v>
      </c>
      <c r="B25" s="5" t="s">
        <v>520</v>
      </c>
      <c r="C25" s="5" t="s">
        <v>521</v>
      </c>
      <c r="D25" s="5"/>
    </row>
    <row r="26" customFormat="false" ht="43.5" hidden="false" customHeight="true" outlineLevel="0" collapsed="false">
      <c r="A26" s="5" t="s">
        <v>522</v>
      </c>
      <c r="B26" s="5" t="s">
        <v>523</v>
      </c>
      <c r="C26" s="5" t="s">
        <v>524</v>
      </c>
      <c r="D26" s="5"/>
    </row>
    <row r="27" customFormat="false" ht="7.5" hidden="false" customHeight="true" outlineLevel="0" collapsed="false"/>
    <row r="28" customFormat="false" ht="18" hidden="false" customHeight="true" outlineLevel="0" collapsed="false">
      <c r="A28" s="3" t="s">
        <v>525</v>
      </c>
      <c r="B28" s="3"/>
      <c r="C28" s="3"/>
      <c r="D28" s="3"/>
    </row>
    <row r="29" customFormat="false" ht="16.5" hidden="false" customHeight="true" outlineLevel="0" collapsed="false">
      <c r="A29" s="4" t="s">
        <v>467</v>
      </c>
      <c r="B29" s="4" t="s">
        <v>468</v>
      </c>
      <c r="C29" s="4" t="s">
        <v>469</v>
      </c>
      <c r="D29" s="4"/>
    </row>
    <row r="30" customFormat="false" ht="43.5" hidden="false" customHeight="true" outlineLevel="0" collapsed="false">
      <c r="A30" s="5" t="s">
        <v>526</v>
      </c>
      <c r="B30" s="5" t="s">
        <v>527</v>
      </c>
      <c r="C30" s="5" t="s">
        <v>528</v>
      </c>
      <c r="D30" s="5"/>
    </row>
    <row r="31" customFormat="false" ht="56.25" hidden="false" customHeight="true" outlineLevel="0" collapsed="false">
      <c r="A31" s="5" t="s">
        <v>529</v>
      </c>
      <c r="B31" s="5" t="s">
        <v>530</v>
      </c>
      <c r="C31" s="5" t="s">
        <v>531</v>
      </c>
      <c r="D31" s="5"/>
    </row>
    <row r="32" customFormat="false" ht="30" hidden="false" customHeight="true" outlineLevel="0" collapsed="false">
      <c r="A32" s="5" t="s">
        <v>532</v>
      </c>
      <c r="B32" s="5" t="s">
        <v>533</v>
      </c>
      <c r="C32" s="5" t="s">
        <v>534</v>
      </c>
      <c r="D32" s="5"/>
    </row>
    <row r="33" customFormat="false" ht="43.5" hidden="false" customHeight="true" outlineLevel="0" collapsed="false">
      <c r="A33" s="5" t="s">
        <v>535</v>
      </c>
      <c r="B33" s="5" t="s">
        <v>536</v>
      </c>
      <c r="C33" s="5" t="s">
        <v>537</v>
      </c>
      <c r="D33" s="5"/>
    </row>
    <row r="34" customFormat="false" ht="30" hidden="false" customHeight="true" outlineLevel="0" collapsed="false">
      <c r="A34" s="5" t="s">
        <v>538</v>
      </c>
      <c r="B34" s="5" t="s">
        <v>539</v>
      </c>
      <c r="C34" s="5" t="s">
        <v>540</v>
      </c>
      <c r="D34" s="5"/>
    </row>
    <row r="35" customFormat="false" ht="82.5" hidden="false" customHeight="true" outlineLevel="0" collapsed="false">
      <c r="A35" s="5" t="s">
        <v>541</v>
      </c>
      <c r="B35" s="5" t="s">
        <v>542</v>
      </c>
      <c r="C35" s="5" t="s">
        <v>543</v>
      </c>
      <c r="D35" s="5"/>
    </row>
    <row r="36" customFormat="false" ht="7.5" hidden="false" customHeight="true" outlineLevel="0" collapsed="false"/>
    <row r="37" customFormat="false" ht="18" hidden="false" customHeight="true" outlineLevel="0" collapsed="false">
      <c r="A37" s="3" t="s">
        <v>544</v>
      </c>
      <c r="B37" s="3"/>
      <c r="C37" s="3"/>
      <c r="D37" s="3"/>
    </row>
    <row r="38" customFormat="false" ht="16.5" hidden="false" customHeight="true" outlineLevel="0" collapsed="false">
      <c r="A38" s="4" t="s">
        <v>467</v>
      </c>
      <c r="B38" s="4" t="s">
        <v>468</v>
      </c>
      <c r="C38" s="4" t="s">
        <v>469</v>
      </c>
      <c r="D38" s="4"/>
    </row>
    <row r="39" customFormat="false" ht="43.5" hidden="false" customHeight="true" outlineLevel="0" collapsed="false">
      <c r="A39" s="5" t="s">
        <v>545</v>
      </c>
      <c r="B39" s="5" t="s">
        <v>546</v>
      </c>
      <c r="C39" s="5" t="s">
        <v>547</v>
      </c>
      <c r="D39" s="5"/>
    </row>
    <row r="40" customFormat="false" ht="56.25" hidden="false" customHeight="true" outlineLevel="0" collapsed="false">
      <c r="A40" s="5" t="s">
        <v>548</v>
      </c>
      <c r="B40" s="5" t="s">
        <v>549</v>
      </c>
      <c r="C40" s="5" t="s">
        <v>550</v>
      </c>
      <c r="D40" s="5"/>
    </row>
    <row r="41" customFormat="false" ht="69.75" hidden="false" customHeight="true" outlineLevel="0" collapsed="false">
      <c r="A41" s="5" t="s">
        <v>551</v>
      </c>
      <c r="B41" s="5" t="s">
        <v>552</v>
      </c>
      <c r="C41" s="5" t="s">
        <v>553</v>
      </c>
      <c r="D41" s="5"/>
    </row>
    <row r="42" customFormat="false" ht="43.5" hidden="false" customHeight="true" outlineLevel="0" collapsed="false">
      <c r="A42" s="5" t="s">
        <v>554</v>
      </c>
      <c r="B42" s="5" t="s">
        <v>555</v>
      </c>
      <c r="C42" s="5" t="s">
        <v>556</v>
      </c>
      <c r="D42" s="5"/>
    </row>
    <row r="43" customFormat="false" ht="7.5" hidden="false" customHeight="true" outlineLevel="0" collapsed="false"/>
    <row r="44" customFormat="false" ht="18" hidden="false" customHeight="true" outlineLevel="0" collapsed="false">
      <c r="A44" s="3" t="s">
        <v>557</v>
      </c>
      <c r="B44" s="3"/>
      <c r="C44" s="3"/>
      <c r="D44" s="3"/>
    </row>
    <row r="45" customFormat="false" ht="16.5" hidden="false" customHeight="true" outlineLevel="0" collapsed="false">
      <c r="A45" s="4" t="s">
        <v>467</v>
      </c>
      <c r="B45" s="4" t="s">
        <v>468</v>
      </c>
      <c r="C45" s="4" t="s">
        <v>469</v>
      </c>
      <c r="D45" s="4"/>
    </row>
    <row r="46" customFormat="false" ht="82.5" hidden="false" customHeight="true" outlineLevel="0" collapsed="false">
      <c r="A46" s="5" t="s">
        <v>558</v>
      </c>
      <c r="B46" s="5" t="s">
        <v>559</v>
      </c>
      <c r="C46" s="5" t="s">
        <v>560</v>
      </c>
      <c r="D46" s="5"/>
    </row>
    <row r="47" customFormat="false" ht="69.75" hidden="false" customHeight="true" outlineLevel="0" collapsed="false">
      <c r="A47" s="5" t="s">
        <v>561</v>
      </c>
      <c r="B47" s="5" t="s">
        <v>562</v>
      </c>
      <c r="C47" s="5" t="s">
        <v>563</v>
      </c>
      <c r="D47" s="5"/>
    </row>
    <row r="48" customFormat="false" ht="43.5" hidden="false" customHeight="true" outlineLevel="0" collapsed="false">
      <c r="A48" s="5" t="s">
        <v>564</v>
      </c>
      <c r="B48" s="5" t="s">
        <v>565</v>
      </c>
      <c r="C48" s="5" t="s">
        <v>566</v>
      </c>
      <c r="D48" s="5"/>
    </row>
    <row r="49" customFormat="false" ht="43.5" hidden="false" customHeight="true" outlineLevel="0" collapsed="false">
      <c r="A49" s="5" t="s">
        <v>567</v>
      </c>
      <c r="B49" s="5" t="s">
        <v>568</v>
      </c>
      <c r="C49" s="5" t="s">
        <v>569</v>
      </c>
      <c r="D49" s="5"/>
    </row>
    <row r="50" customFormat="false" ht="43.5" hidden="false" customHeight="true" outlineLevel="0" collapsed="false">
      <c r="A50" s="5" t="s">
        <v>570</v>
      </c>
      <c r="B50" s="5" t="s">
        <v>571</v>
      </c>
      <c r="C50" s="5" t="s">
        <v>572</v>
      </c>
      <c r="D50" s="5"/>
    </row>
    <row r="51" customFormat="false" ht="43.5" hidden="false" customHeight="true" outlineLevel="0" collapsed="false">
      <c r="A51" s="5" t="s">
        <v>573</v>
      </c>
      <c r="B51" s="5" t="s">
        <v>574</v>
      </c>
      <c r="C51" s="5" t="s">
        <v>142</v>
      </c>
      <c r="D51" s="5"/>
    </row>
    <row r="52" customFormat="false" ht="43.5" hidden="false" customHeight="true" outlineLevel="0" collapsed="false">
      <c r="A52" s="5" t="s">
        <v>575</v>
      </c>
      <c r="B52" s="5" t="s">
        <v>576</v>
      </c>
      <c r="C52" s="5" t="s">
        <v>577</v>
      </c>
      <c r="D52" s="5"/>
    </row>
    <row r="53" customFormat="false" ht="56.25" hidden="false" customHeight="true" outlineLevel="0" collapsed="false">
      <c r="A53" s="5" t="s">
        <v>578</v>
      </c>
      <c r="B53" s="5" t="s">
        <v>579</v>
      </c>
      <c r="C53" s="5" t="s">
        <v>580</v>
      </c>
      <c r="D53" s="5"/>
    </row>
    <row r="54" customFormat="false" ht="43.5" hidden="false" customHeight="true" outlineLevel="0" collapsed="false">
      <c r="A54" s="5" t="s">
        <v>581</v>
      </c>
      <c r="B54" s="5" t="s">
        <v>582</v>
      </c>
      <c r="C54" s="5" t="s">
        <v>583</v>
      </c>
      <c r="D54" s="5"/>
    </row>
    <row r="55" customFormat="false" ht="7.5" hidden="false" customHeight="true" outlineLevel="0" collapsed="false"/>
    <row r="56" customFormat="false" ht="18" hidden="false" customHeight="true" outlineLevel="0" collapsed="false">
      <c r="A56" s="3" t="s">
        <v>584</v>
      </c>
      <c r="B56" s="3"/>
      <c r="C56" s="3"/>
      <c r="D56" s="3"/>
    </row>
    <row r="57" customFormat="false" ht="16.5" hidden="false" customHeight="true" outlineLevel="0" collapsed="false">
      <c r="A57" s="4" t="s">
        <v>467</v>
      </c>
      <c r="B57" s="4" t="s">
        <v>468</v>
      </c>
      <c r="C57" s="4" t="s">
        <v>469</v>
      </c>
      <c r="D57" s="4"/>
    </row>
    <row r="58" customFormat="false" ht="30" hidden="false" customHeight="true" outlineLevel="0" collapsed="false">
      <c r="A58" s="5" t="s">
        <v>585</v>
      </c>
      <c r="B58" s="5" t="s">
        <v>586</v>
      </c>
      <c r="C58" s="5" t="s">
        <v>587</v>
      </c>
      <c r="D58" s="5"/>
    </row>
    <row r="59" customFormat="false" ht="43.5" hidden="false" customHeight="true" outlineLevel="0" collapsed="false">
      <c r="A59" s="5" t="s">
        <v>588</v>
      </c>
      <c r="B59" s="5" t="s">
        <v>589</v>
      </c>
      <c r="C59" s="5" t="s">
        <v>590</v>
      </c>
      <c r="D59" s="5"/>
    </row>
    <row r="60" customFormat="false" ht="30" hidden="false" customHeight="true" outlineLevel="0" collapsed="false">
      <c r="A60" s="5" t="s">
        <v>591</v>
      </c>
      <c r="B60" s="5" t="s">
        <v>592</v>
      </c>
      <c r="C60" s="5" t="s">
        <v>593</v>
      </c>
      <c r="D60" s="5"/>
    </row>
    <row r="61" customFormat="false" ht="30" hidden="false" customHeight="true" outlineLevel="0" collapsed="false">
      <c r="A61" s="5" t="s">
        <v>594</v>
      </c>
      <c r="B61" s="5" t="s">
        <v>595</v>
      </c>
      <c r="C61" s="5" t="s">
        <v>596</v>
      </c>
      <c r="D61" s="5"/>
    </row>
    <row r="62" customFormat="false" ht="56.25" hidden="false" customHeight="true" outlineLevel="0" collapsed="false">
      <c r="A62" s="5" t="s">
        <v>597</v>
      </c>
      <c r="B62" s="5" t="s">
        <v>598</v>
      </c>
      <c r="C62" s="5" t="s">
        <v>599</v>
      </c>
      <c r="D62" s="5"/>
    </row>
    <row r="63" customFormat="false" ht="30" hidden="false" customHeight="true" outlineLevel="0" collapsed="false">
      <c r="A63" s="5" t="s">
        <v>600</v>
      </c>
      <c r="B63" s="5" t="s">
        <v>601</v>
      </c>
      <c r="C63" s="5" t="s">
        <v>602</v>
      </c>
      <c r="D63" s="5"/>
    </row>
    <row r="64" customFormat="false" ht="30" hidden="false" customHeight="true" outlineLevel="0" collapsed="false">
      <c r="A64" s="5" t="s">
        <v>603</v>
      </c>
      <c r="B64" s="5" t="s">
        <v>604</v>
      </c>
      <c r="C64" s="5" t="s">
        <v>605</v>
      </c>
      <c r="D64" s="5"/>
    </row>
    <row r="65" customFormat="false" ht="43.5" hidden="false" customHeight="true" outlineLevel="0" collapsed="false">
      <c r="A65" s="5" t="s">
        <v>606</v>
      </c>
      <c r="B65" s="5" t="s">
        <v>607</v>
      </c>
      <c r="C65" s="5" t="s">
        <v>608</v>
      </c>
      <c r="D65" s="5"/>
    </row>
    <row r="66" customFormat="false" ht="43.5" hidden="false" customHeight="true" outlineLevel="0" collapsed="false">
      <c r="A66" s="5" t="s">
        <v>609</v>
      </c>
      <c r="B66" s="5" t="s">
        <v>610</v>
      </c>
      <c r="C66" s="5" t="s">
        <v>608</v>
      </c>
      <c r="D66" s="5"/>
    </row>
    <row r="67" customFormat="false" ht="7.5" hidden="false" customHeight="true" outlineLevel="0" collapsed="false"/>
    <row r="68" customFormat="false" ht="18" hidden="false" customHeight="true" outlineLevel="0" collapsed="false">
      <c r="A68" s="3" t="s">
        <v>611</v>
      </c>
      <c r="B68" s="3"/>
      <c r="C68" s="3"/>
      <c r="D68" s="3"/>
    </row>
    <row r="69" customFormat="false" ht="16.5" hidden="false" customHeight="true" outlineLevel="0" collapsed="false">
      <c r="A69" s="4" t="s">
        <v>467</v>
      </c>
      <c r="B69" s="4" t="s">
        <v>468</v>
      </c>
      <c r="C69" s="4" t="s">
        <v>469</v>
      </c>
      <c r="D69" s="4"/>
    </row>
    <row r="70" customFormat="false" ht="56.25" hidden="false" customHeight="true" outlineLevel="0" collapsed="false">
      <c r="A70" s="5" t="s">
        <v>612</v>
      </c>
      <c r="B70" s="5" t="s">
        <v>613</v>
      </c>
      <c r="C70" s="5" t="s">
        <v>614</v>
      </c>
      <c r="D70" s="5"/>
    </row>
    <row r="71" customFormat="false" ht="56.25" hidden="false" customHeight="true" outlineLevel="0" collapsed="false">
      <c r="A71" s="5" t="s">
        <v>615</v>
      </c>
      <c r="B71" s="5" t="s">
        <v>616</v>
      </c>
      <c r="C71" s="5" t="s">
        <v>617</v>
      </c>
      <c r="D71" s="5"/>
    </row>
    <row r="72" customFormat="false" ht="43.5" hidden="false" customHeight="true" outlineLevel="0" collapsed="false">
      <c r="A72" s="5" t="s">
        <v>618</v>
      </c>
      <c r="B72" s="5" t="s">
        <v>619</v>
      </c>
      <c r="C72" s="5" t="s">
        <v>620</v>
      </c>
      <c r="D72" s="5"/>
    </row>
    <row r="73" customFormat="false" ht="7.5" hidden="false" customHeight="true" outlineLevel="0" collapsed="false"/>
  </sheetData>
  <mergeCells count="65">
    <mergeCell ref="A1:D1"/>
    <mergeCell ref="A2:D2"/>
    <mergeCell ref="A4:D4"/>
    <mergeCell ref="C5:D5"/>
    <mergeCell ref="C6:D6"/>
    <mergeCell ref="C7:D7"/>
    <mergeCell ref="C8:D8"/>
    <mergeCell ref="C9:D9"/>
    <mergeCell ref="C10:D10"/>
    <mergeCell ref="C11:D11"/>
    <mergeCell ref="C12:D12"/>
    <mergeCell ref="C13:D13"/>
    <mergeCell ref="C14:D14"/>
    <mergeCell ref="C15:D15"/>
    <mergeCell ref="C16:D16"/>
    <mergeCell ref="A18:D18"/>
    <mergeCell ref="C19:D19"/>
    <mergeCell ref="C20:D20"/>
    <mergeCell ref="C21:D21"/>
    <mergeCell ref="C22:D22"/>
    <mergeCell ref="C23:D23"/>
    <mergeCell ref="C24:D24"/>
    <mergeCell ref="C25:D25"/>
    <mergeCell ref="C26:D26"/>
    <mergeCell ref="A28:D28"/>
    <mergeCell ref="C29:D29"/>
    <mergeCell ref="C30:D30"/>
    <mergeCell ref="C31:D31"/>
    <mergeCell ref="C32:D32"/>
    <mergeCell ref="C33:D33"/>
    <mergeCell ref="C34:D34"/>
    <mergeCell ref="C35:D35"/>
    <mergeCell ref="A37:D37"/>
    <mergeCell ref="C38:D38"/>
    <mergeCell ref="C39:D39"/>
    <mergeCell ref="C40:D40"/>
    <mergeCell ref="C41:D41"/>
    <mergeCell ref="C42:D42"/>
    <mergeCell ref="A44:D44"/>
    <mergeCell ref="C45:D45"/>
    <mergeCell ref="C46:D46"/>
    <mergeCell ref="C47:D47"/>
    <mergeCell ref="C48:D48"/>
    <mergeCell ref="C49:D49"/>
    <mergeCell ref="C50:D50"/>
    <mergeCell ref="C51:D51"/>
    <mergeCell ref="C52:D52"/>
    <mergeCell ref="C53:D53"/>
    <mergeCell ref="C54:D54"/>
    <mergeCell ref="A56:D56"/>
    <mergeCell ref="C57:D57"/>
    <mergeCell ref="C58:D58"/>
    <mergeCell ref="C59:D59"/>
    <mergeCell ref="C60:D60"/>
    <mergeCell ref="C61:D61"/>
    <mergeCell ref="C62:D62"/>
    <mergeCell ref="C63:D63"/>
    <mergeCell ref="C64:D64"/>
    <mergeCell ref="C65:D65"/>
    <mergeCell ref="C66:D66"/>
    <mergeCell ref="A68:D68"/>
    <mergeCell ref="C69:D69"/>
    <mergeCell ref="C70:D70"/>
    <mergeCell ref="C71:D71"/>
    <mergeCell ref="C72:D7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1C1C"/>
    <pageSetUpPr fitToPage="false"/>
  </sheetPr>
  <dimension ref="A1:D1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38"/>
  </cols>
  <sheetData>
    <row r="1" customFormat="false" ht="30" hidden="false" customHeight="true" outlineLevel="0" collapsed="false">
      <c r="A1" s="1" t="s">
        <v>621</v>
      </c>
      <c r="B1" s="1"/>
      <c r="C1" s="1"/>
      <c r="D1" s="1"/>
    </row>
    <row r="2" customFormat="false" ht="33" hidden="false" customHeight="true" outlineLevel="0" collapsed="false">
      <c r="A2" s="2" t="s">
        <v>622</v>
      </c>
      <c r="B2" s="2"/>
      <c r="C2" s="2"/>
      <c r="D2" s="2"/>
    </row>
    <row r="3" customFormat="false" ht="7.5" hidden="false" customHeight="true" outlineLevel="0" collapsed="false"/>
    <row r="4" customFormat="false" ht="18" hidden="false" customHeight="true" outlineLevel="0" collapsed="false">
      <c r="A4" s="3" t="s">
        <v>623</v>
      </c>
      <c r="B4" s="3"/>
      <c r="C4" s="3"/>
      <c r="D4" s="3"/>
    </row>
    <row r="5" customFormat="false" ht="16.5" hidden="false" customHeight="true" outlineLevel="0" collapsed="false">
      <c r="A5" s="4" t="s">
        <v>467</v>
      </c>
      <c r="B5" s="4" t="s">
        <v>66</v>
      </c>
      <c r="C5" s="4" t="s">
        <v>624</v>
      </c>
      <c r="D5" s="4"/>
    </row>
    <row r="6" customFormat="false" ht="30" hidden="false" customHeight="true" outlineLevel="0" collapsed="false">
      <c r="A6" s="5" t="s">
        <v>625</v>
      </c>
      <c r="B6" s="5" t="s">
        <v>626</v>
      </c>
      <c r="C6" s="5" t="s">
        <v>627</v>
      </c>
      <c r="D6" s="5"/>
    </row>
    <row r="7" customFormat="false" ht="16.5" hidden="false" customHeight="true" outlineLevel="0" collapsed="false">
      <c r="A7" s="5" t="s">
        <v>625</v>
      </c>
      <c r="B7" s="5" t="s">
        <v>628</v>
      </c>
      <c r="C7" s="5" t="s">
        <v>629</v>
      </c>
      <c r="D7" s="5"/>
    </row>
    <row r="8" customFormat="false" ht="16.5" hidden="false" customHeight="true" outlineLevel="0" collapsed="false">
      <c r="A8" s="5" t="s">
        <v>625</v>
      </c>
      <c r="B8" s="5" t="s">
        <v>630</v>
      </c>
      <c r="C8" s="5" t="s">
        <v>631</v>
      </c>
      <c r="D8" s="5"/>
    </row>
    <row r="9" customFormat="false" ht="30" hidden="false" customHeight="true" outlineLevel="0" collapsed="false">
      <c r="A9" s="5" t="s">
        <v>625</v>
      </c>
      <c r="B9" s="5" t="s">
        <v>632</v>
      </c>
      <c r="C9" s="5" t="s">
        <v>633</v>
      </c>
      <c r="D9" s="5"/>
    </row>
    <row r="10" customFormat="false" ht="30" hidden="false" customHeight="true" outlineLevel="0" collapsed="false">
      <c r="A10" s="5" t="s">
        <v>625</v>
      </c>
      <c r="B10" s="5" t="s">
        <v>634</v>
      </c>
      <c r="C10" s="5" t="s">
        <v>635</v>
      </c>
      <c r="D10" s="5"/>
    </row>
    <row r="11" customFormat="false" ht="30" hidden="false" customHeight="true" outlineLevel="0" collapsed="false">
      <c r="A11" s="5" t="s">
        <v>625</v>
      </c>
      <c r="B11" s="5" t="s">
        <v>636</v>
      </c>
      <c r="C11" s="5" t="s">
        <v>637</v>
      </c>
      <c r="D11" s="5"/>
    </row>
    <row r="12" customFormat="false" ht="43.5" hidden="false" customHeight="true" outlineLevel="0" collapsed="false">
      <c r="A12" s="5" t="s">
        <v>638</v>
      </c>
      <c r="B12" s="5" t="s">
        <v>639</v>
      </c>
      <c r="C12" s="5" t="s">
        <v>640</v>
      </c>
      <c r="D12" s="5"/>
    </row>
    <row r="13" customFormat="false" ht="30" hidden="false" customHeight="true" outlineLevel="0" collapsed="false">
      <c r="A13" s="5" t="s">
        <v>638</v>
      </c>
      <c r="B13" s="5" t="s">
        <v>641</v>
      </c>
      <c r="C13" s="5" t="s">
        <v>642</v>
      </c>
      <c r="D13" s="5"/>
    </row>
    <row r="14" customFormat="false" ht="30" hidden="false" customHeight="true" outlineLevel="0" collapsed="false">
      <c r="A14" s="5" t="s">
        <v>638</v>
      </c>
      <c r="B14" s="5" t="s">
        <v>643</v>
      </c>
      <c r="C14" s="5" t="s">
        <v>644</v>
      </c>
      <c r="D14" s="5"/>
    </row>
    <row r="15" customFormat="false" ht="30" hidden="false" customHeight="true" outlineLevel="0" collapsed="false">
      <c r="A15" s="5" t="s">
        <v>638</v>
      </c>
      <c r="B15" s="5" t="s">
        <v>645</v>
      </c>
      <c r="C15" s="5" t="s">
        <v>646</v>
      </c>
      <c r="D15" s="5"/>
    </row>
    <row r="16" customFormat="false" ht="30" hidden="false" customHeight="true" outlineLevel="0" collapsed="false">
      <c r="A16" s="5" t="s">
        <v>638</v>
      </c>
      <c r="B16" s="5" t="s">
        <v>647</v>
      </c>
      <c r="C16" s="5" t="s">
        <v>648</v>
      </c>
      <c r="D16" s="5"/>
    </row>
    <row r="17" customFormat="false" ht="30" hidden="false" customHeight="true" outlineLevel="0" collapsed="false">
      <c r="A17" s="5" t="s">
        <v>638</v>
      </c>
      <c r="B17" s="5" t="s">
        <v>649</v>
      </c>
      <c r="C17" s="5" t="s">
        <v>650</v>
      </c>
      <c r="D17" s="5"/>
    </row>
    <row r="18" customFormat="false" ht="30" hidden="false" customHeight="true" outlineLevel="0" collapsed="false">
      <c r="A18" s="5" t="s">
        <v>638</v>
      </c>
      <c r="B18" s="5" t="s">
        <v>651</v>
      </c>
      <c r="C18" s="5" t="s">
        <v>652</v>
      </c>
      <c r="D18" s="5"/>
    </row>
    <row r="19" customFormat="false" ht="30" hidden="false" customHeight="true" outlineLevel="0" collapsed="false">
      <c r="A19" s="5" t="s">
        <v>638</v>
      </c>
      <c r="B19" s="5" t="s">
        <v>653</v>
      </c>
      <c r="C19" s="5" t="s">
        <v>654</v>
      </c>
      <c r="D19" s="5"/>
    </row>
    <row r="20" customFormat="false" ht="30" hidden="false" customHeight="true" outlineLevel="0" collapsed="false">
      <c r="A20" s="5" t="s">
        <v>638</v>
      </c>
      <c r="B20" s="5" t="s">
        <v>655</v>
      </c>
      <c r="C20" s="5" t="s">
        <v>656</v>
      </c>
      <c r="D20" s="5"/>
    </row>
    <row r="21" customFormat="false" ht="30" hidden="false" customHeight="true" outlineLevel="0" collapsed="false">
      <c r="A21" s="5" t="s">
        <v>638</v>
      </c>
      <c r="B21" s="5" t="s">
        <v>657</v>
      </c>
      <c r="C21" s="5" t="s">
        <v>658</v>
      </c>
      <c r="D21" s="5"/>
    </row>
    <row r="22" customFormat="false" ht="30" hidden="false" customHeight="true" outlineLevel="0" collapsed="false">
      <c r="A22" s="5" t="s">
        <v>638</v>
      </c>
      <c r="B22" s="5" t="s">
        <v>659</v>
      </c>
      <c r="C22" s="5" t="s">
        <v>660</v>
      </c>
      <c r="D22" s="5"/>
    </row>
    <row r="23" customFormat="false" ht="30" hidden="false" customHeight="true" outlineLevel="0" collapsed="false">
      <c r="A23" s="5" t="s">
        <v>638</v>
      </c>
      <c r="B23" s="5" t="s">
        <v>661</v>
      </c>
      <c r="C23" s="5" t="s">
        <v>660</v>
      </c>
      <c r="D23" s="5"/>
    </row>
    <row r="24" customFormat="false" ht="30" hidden="false" customHeight="true" outlineLevel="0" collapsed="false">
      <c r="A24" s="5" t="s">
        <v>638</v>
      </c>
      <c r="B24" s="5" t="s">
        <v>662</v>
      </c>
      <c r="C24" s="5" t="s">
        <v>663</v>
      </c>
      <c r="D24" s="5"/>
    </row>
    <row r="25" customFormat="false" ht="30" hidden="false" customHeight="true" outlineLevel="0" collapsed="false">
      <c r="A25" s="5" t="s">
        <v>638</v>
      </c>
      <c r="B25" s="5" t="s">
        <v>664</v>
      </c>
      <c r="C25" s="5" t="s">
        <v>665</v>
      </c>
      <c r="D25" s="5"/>
    </row>
    <row r="26" customFormat="false" ht="16.5" hidden="false" customHeight="true" outlineLevel="0" collapsed="false">
      <c r="A26" s="5" t="s">
        <v>638</v>
      </c>
      <c r="B26" s="5" t="s">
        <v>666</v>
      </c>
      <c r="C26" s="5" t="s">
        <v>667</v>
      </c>
      <c r="D26" s="5"/>
    </row>
    <row r="27" customFormat="false" ht="30" hidden="false" customHeight="true" outlineLevel="0" collapsed="false">
      <c r="A27" s="5" t="s">
        <v>638</v>
      </c>
      <c r="B27" s="5" t="s">
        <v>668</v>
      </c>
      <c r="C27" s="5" t="s">
        <v>669</v>
      </c>
      <c r="D27" s="5"/>
    </row>
    <row r="28" customFormat="false" ht="16.5" hidden="false" customHeight="true" outlineLevel="0" collapsed="false">
      <c r="A28" s="5" t="s">
        <v>638</v>
      </c>
      <c r="B28" s="5" t="s">
        <v>670</v>
      </c>
      <c r="C28" s="5" t="s">
        <v>671</v>
      </c>
      <c r="D28" s="5"/>
    </row>
    <row r="29" customFormat="false" ht="30" hidden="false" customHeight="true" outlineLevel="0" collapsed="false">
      <c r="A29" s="5" t="s">
        <v>638</v>
      </c>
      <c r="B29" s="5" t="s">
        <v>672</v>
      </c>
      <c r="C29" s="5" t="s">
        <v>673</v>
      </c>
      <c r="D29" s="5"/>
    </row>
    <row r="30" customFormat="false" ht="16.5" hidden="false" customHeight="true" outlineLevel="0" collapsed="false">
      <c r="A30" s="5" t="s">
        <v>638</v>
      </c>
      <c r="B30" s="5" t="s">
        <v>674</v>
      </c>
      <c r="C30" s="5" t="s">
        <v>675</v>
      </c>
      <c r="D30" s="5"/>
    </row>
    <row r="31" customFormat="false" ht="30" hidden="false" customHeight="true" outlineLevel="0" collapsed="false">
      <c r="A31" s="5" t="s">
        <v>638</v>
      </c>
      <c r="B31" s="5" t="s">
        <v>676</v>
      </c>
      <c r="C31" s="5" t="s">
        <v>677</v>
      </c>
      <c r="D31" s="5"/>
    </row>
    <row r="32" customFormat="false" ht="16.5" hidden="false" customHeight="true" outlineLevel="0" collapsed="false">
      <c r="A32" s="5" t="s">
        <v>678</v>
      </c>
      <c r="B32" s="5" t="s">
        <v>679</v>
      </c>
      <c r="C32" s="5" t="s">
        <v>680</v>
      </c>
      <c r="D32" s="5"/>
    </row>
    <row r="33" customFormat="false" ht="30" hidden="false" customHeight="true" outlineLevel="0" collapsed="false">
      <c r="A33" s="5" t="s">
        <v>678</v>
      </c>
      <c r="B33" s="5" t="s">
        <v>681</v>
      </c>
      <c r="C33" s="5" t="s">
        <v>682</v>
      </c>
      <c r="D33" s="5"/>
    </row>
    <row r="34" customFormat="false" ht="16.5" hidden="false" customHeight="true" outlineLevel="0" collapsed="false">
      <c r="A34" s="5" t="s">
        <v>678</v>
      </c>
      <c r="B34" s="5" t="s">
        <v>683</v>
      </c>
      <c r="C34" s="5" t="s">
        <v>684</v>
      </c>
      <c r="D34" s="5"/>
    </row>
    <row r="35" customFormat="false" ht="16.5" hidden="false" customHeight="true" outlineLevel="0" collapsed="false">
      <c r="A35" s="5" t="s">
        <v>678</v>
      </c>
      <c r="B35" s="5" t="s">
        <v>685</v>
      </c>
      <c r="C35" s="5" t="s">
        <v>686</v>
      </c>
      <c r="D35" s="5"/>
    </row>
    <row r="36" customFormat="false" ht="30" hidden="false" customHeight="true" outlineLevel="0" collapsed="false">
      <c r="A36" s="5" t="s">
        <v>678</v>
      </c>
      <c r="B36" s="5" t="s">
        <v>687</v>
      </c>
      <c r="C36" s="5" t="s">
        <v>688</v>
      </c>
      <c r="D36" s="5"/>
    </row>
    <row r="37" customFormat="false" ht="30" hidden="false" customHeight="true" outlineLevel="0" collapsed="false">
      <c r="A37" s="5" t="s">
        <v>678</v>
      </c>
      <c r="B37" s="5" t="s">
        <v>689</v>
      </c>
      <c r="C37" s="5" t="s">
        <v>690</v>
      </c>
      <c r="D37" s="5"/>
    </row>
    <row r="38" customFormat="false" ht="30" hidden="false" customHeight="true" outlineLevel="0" collapsed="false">
      <c r="A38" s="5" t="s">
        <v>678</v>
      </c>
      <c r="B38" s="5" t="s">
        <v>691</v>
      </c>
      <c r="C38" s="5" t="s">
        <v>692</v>
      </c>
      <c r="D38" s="5"/>
    </row>
    <row r="39" customFormat="false" ht="30" hidden="false" customHeight="true" outlineLevel="0" collapsed="false">
      <c r="A39" s="5" t="s">
        <v>678</v>
      </c>
      <c r="B39" s="5" t="s">
        <v>693</v>
      </c>
      <c r="C39" s="5" t="s">
        <v>694</v>
      </c>
      <c r="D39" s="5"/>
    </row>
    <row r="40" customFormat="false" ht="30" hidden="false" customHeight="true" outlineLevel="0" collapsed="false">
      <c r="A40" s="5" t="s">
        <v>678</v>
      </c>
      <c r="B40" s="5" t="s">
        <v>695</v>
      </c>
      <c r="C40" s="5" t="s">
        <v>696</v>
      </c>
      <c r="D40" s="5"/>
    </row>
    <row r="41" customFormat="false" ht="16.5" hidden="false" customHeight="true" outlineLevel="0" collapsed="false">
      <c r="A41" s="5" t="s">
        <v>678</v>
      </c>
      <c r="B41" s="5" t="s">
        <v>697</v>
      </c>
      <c r="C41" s="5" t="s">
        <v>698</v>
      </c>
      <c r="D41" s="5"/>
    </row>
    <row r="42" customFormat="false" ht="30" hidden="false" customHeight="true" outlineLevel="0" collapsed="false">
      <c r="A42" s="5" t="s">
        <v>678</v>
      </c>
      <c r="B42" s="5" t="s">
        <v>699</v>
      </c>
      <c r="C42" s="5" t="s">
        <v>700</v>
      </c>
      <c r="D42" s="5"/>
    </row>
    <row r="43" customFormat="false" ht="30" hidden="false" customHeight="true" outlineLevel="0" collapsed="false">
      <c r="A43" s="5" t="s">
        <v>678</v>
      </c>
      <c r="B43" s="5" t="s">
        <v>701</v>
      </c>
      <c r="C43" s="5" t="s">
        <v>702</v>
      </c>
      <c r="D43" s="5"/>
    </row>
    <row r="44" customFormat="false" ht="16.5" hidden="false" customHeight="true" outlineLevel="0" collapsed="false">
      <c r="A44" s="5" t="s">
        <v>703</v>
      </c>
      <c r="B44" s="5" t="s">
        <v>704</v>
      </c>
      <c r="C44" s="5" t="s">
        <v>700</v>
      </c>
      <c r="D44" s="5"/>
    </row>
    <row r="45" customFormat="false" ht="16.5" hidden="false" customHeight="true" outlineLevel="0" collapsed="false">
      <c r="A45" s="5" t="s">
        <v>703</v>
      </c>
      <c r="B45" s="5" t="s">
        <v>705</v>
      </c>
      <c r="C45" s="5" t="s">
        <v>706</v>
      </c>
      <c r="D45" s="5"/>
    </row>
    <row r="46" customFormat="false" ht="30" hidden="false" customHeight="true" outlineLevel="0" collapsed="false">
      <c r="A46" s="5" t="s">
        <v>703</v>
      </c>
      <c r="B46" s="5" t="s">
        <v>707</v>
      </c>
      <c r="C46" s="5" t="s">
        <v>708</v>
      </c>
      <c r="D46" s="5"/>
    </row>
    <row r="47" customFormat="false" ht="30" hidden="false" customHeight="true" outlineLevel="0" collapsed="false">
      <c r="A47" s="5" t="s">
        <v>703</v>
      </c>
      <c r="B47" s="5" t="s">
        <v>709</v>
      </c>
      <c r="C47" s="5" t="s">
        <v>710</v>
      </c>
      <c r="D47" s="5"/>
    </row>
    <row r="48" customFormat="false" ht="30" hidden="false" customHeight="true" outlineLevel="0" collapsed="false">
      <c r="A48" s="5" t="s">
        <v>711</v>
      </c>
      <c r="B48" s="5" t="s">
        <v>712</v>
      </c>
      <c r="C48" s="5" t="s">
        <v>713</v>
      </c>
      <c r="D48" s="5"/>
    </row>
    <row r="49" customFormat="false" ht="30" hidden="false" customHeight="true" outlineLevel="0" collapsed="false">
      <c r="A49" s="5" t="s">
        <v>711</v>
      </c>
      <c r="B49" s="5" t="s">
        <v>714</v>
      </c>
      <c r="C49" s="5" t="s">
        <v>715</v>
      </c>
      <c r="D49" s="5"/>
    </row>
    <row r="50" customFormat="false" ht="30" hidden="false" customHeight="true" outlineLevel="0" collapsed="false">
      <c r="A50" s="5" t="s">
        <v>716</v>
      </c>
      <c r="B50" s="5" t="s">
        <v>717</v>
      </c>
      <c r="C50" s="5" t="s">
        <v>718</v>
      </c>
      <c r="D50" s="5"/>
    </row>
    <row r="51" customFormat="false" ht="16.5" hidden="false" customHeight="true" outlineLevel="0" collapsed="false">
      <c r="A51" s="5" t="s">
        <v>716</v>
      </c>
      <c r="B51" s="5" t="s">
        <v>719</v>
      </c>
      <c r="C51" s="5" t="s">
        <v>720</v>
      </c>
      <c r="D51" s="5"/>
    </row>
    <row r="52" customFormat="false" ht="30" hidden="false" customHeight="true" outlineLevel="0" collapsed="false">
      <c r="A52" s="5" t="s">
        <v>716</v>
      </c>
      <c r="B52" s="5" t="s">
        <v>721</v>
      </c>
      <c r="C52" s="5" t="s">
        <v>722</v>
      </c>
      <c r="D52" s="5"/>
    </row>
    <row r="53" customFormat="false" ht="30" hidden="false" customHeight="true" outlineLevel="0" collapsed="false">
      <c r="A53" s="5" t="s">
        <v>723</v>
      </c>
      <c r="B53" s="5" t="s">
        <v>724</v>
      </c>
      <c r="C53" s="5" t="s">
        <v>725</v>
      </c>
      <c r="D53" s="5"/>
    </row>
    <row r="54" customFormat="false" ht="30" hidden="false" customHeight="true" outlineLevel="0" collapsed="false">
      <c r="A54" s="5" t="s">
        <v>723</v>
      </c>
      <c r="B54" s="5" t="s">
        <v>726</v>
      </c>
      <c r="C54" s="5" t="s">
        <v>727</v>
      </c>
      <c r="D54" s="5"/>
    </row>
    <row r="55" customFormat="false" ht="30" hidden="false" customHeight="true" outlineLevel="0" collapsed="false">
      <c r="A55" s="5" t="s">
        <v>723</v>
      </c>
      <c r="B55" s="5" t="s">
        <v>728</v>
      </c>
      <c r="C55" s="5" t="s">
        <v>729</v>
      </c>
      <c r="D55" s="5"/>
    </row>
    <row r="56" customFormat="false" ht="30" hidden="false" customHeight="true" outlineLevel="0" collapsed="false">
      <c r="A56" s="5" t="s">
        <v>723</v>
      </c>
      <c r="B56" s="5" t="s">
        <v>730</v>
      </c>
      <c r="C56" s="5" t="s">
        <v>731</v>
      </c>
      <c r="D56" s="5"/>
    </row>
    <row r="57" customFormat="false" ht="30" hidden="false" customHeight="true" outlineLevel="0" collapsed="false">
      <c r="A57" s="5" t="s">
        <v>723</v>
      </c>
      <c r="B57" s="5" t="s">
        <v>732</v>
      </c>
      <c r="C57" s="5" t="s">
        <v>733</v>
      </c>
      <c r="D57" s="5"/>
    </row>
    <row r="58" customFormat="false" ht="16.5" hidden="false" customHeight="true" outlineLevel="0" collapsed="false">
      <c r="A58" s="5" t="s">
        <v>723</v>
      </c>
      <c r="B58" s="5" t="s">
        <v>734</v>
      </c>
      <c r="C58" s="5" t="s">
        <v>735</v>
      </c>
      <c r="D58" s="5"/>
    </row>
    <row r="59" customFormat="false" ht="16.5" hidden="false" customHeight="true" outlineLevel="0" collapsed="false">
      <c r="A59" s="5" t="s">
        <v>723</v>
      </c>
      <c r="B59" s="5" t="s">
        <v>736</v>
      </c>
      <c r="C59" s="5" t="s">
        <v>737</v>
      </c>
      <c r="D59" s="5"/>
    </row>
    <row r="60" customFormat="false" ht="30" hidden="false" customHeight="true" outlineLevel="0" collapsed="false">
      <c r="A60" s="5" t="s">
        <v>738</v>
      </c>
      <c r="B60" s="5" t="s">
        <v>739</v>
      </c>
      <c r="C60" s="5" t="s">
        <v>740</v>
      </c>
      <c r="D60" s="5"/>
    </row>
    <row r="61" customFormat="false" ht="30" hidden="false" customHeight="true" outlineLevel="0" collapsed="false">
      <c r="A61" s="5" t="s">
        <v>738</v>
      </c>
      <c r="B61" s="5" t="s">
        <v>741</v>
      </c>
      <c r="C61" s="5" t="s">
        <v>742</v>
      </c>
      <c r="D61" s="5"/>
    </row>
    <row r="62" customFormat="false" ht="30" hidden="false" customHeight="true" outlineLevel="0" collapsed="false">
      <c r="A62" s="5" t="s">
        <v>738</v>
      </c>
      <c r="B62" s="5" t="s">
        <v>743</v>
      </c>
      <c r="C62" s="5" t="s">
        <v>744</v>
      </c>
      <c r="D62" s="5"/>
    </row>
    <row r="63" customFormat="false" ht="30" hidden="false" customHeight="true" outlineLevel="0" collapsed="false">
      <c r="A63" s="5" t="s">
        <v>738</v>
      </c>
      <c r="B63" s="5" t="s">
        <v>745</v>
      </c>
      <c r="C63" s="5" t="s">
        <v>746</v>
      </c>
      <c r="D63" s="5"/>
    </row>
    <row r="64" customFormat="false" ht="30" hidden="false" customHeight="true" outlineLevel="0" collapsed="false">
      <c r="A64" s="5" t="s">
        <v>747</v>
      </c>
      <c r="B64" s="5" t="s">
        <v>748</v>
      </c>
      <c r="C64" s="5" t="s">
        <v>749</v>
      </c>
      <c r="D64" s="5"/>
    </row>
    <row r="65" customFormat="false" ht="16.5" hidden="false" customHeight="true" outlineLevel="0" collapsed="false">
      <c r="A65" s="5" t="s">
        <v>747</v>
      </c>
      <c r="B65" s="5" t="s">
        <v>750</v>
      </c>
      <c r="C65" s="5" t="s">
        <v>751</v>
      </c>
      <c r="D65" s="5"/>
    </row>
    <row r="66" customFormat="false" ht="16.5" hidden="false" customHeight="true" outlineLevel="0" collapsed="false">
      <c r="A66" s="5" t="s">
        <v>752</v>
      </c>
      <c r="B66" s="5" t="s">
        <v>753</v>
      </c>
      <c r="C66" s="5" t="s">
        <v>754</v>
      </c>
      <c r="D66" s="5"/>
    </row>
    <row r="67" customFormat="false" ht="30" hidden="false" customHeight="true" outlineLevel="0" collapsed="false">
      <c r="A67" s="5" t="s">
        <v>752</v>
      </c>
      <c r="B67" s="5" t="s">
        <v>755</v>
      </c>
      <c r="C67" s="5" t="s">
        <v>756</v>
      </c>
      <c r="D67" s="5"/>
    </row>
    <row r="68" customFormat="false" ht="30" hidden="false" customHeight="true" outlineLevel="0" collapsed="false">
      <c r="A68" s="5" t="s">
        <v>752</v>
      </c>
      <c r="B68" s="5" t="s">
        <v>757</v>
      </c>
      <c r="C68" s="5" t="s">
        <v>758</v>
      </c>
      <c r="D68" s="5"/>
    </row>
    <row r="69" customFormat="false" ht="30" hidden="false" customHeight="true" outlineLevel="0" collapsed="false">
      <c r="A69" s="5" t="s">
        <v>752</v>
      </c>
      <c r="B69" s="5" t="s">
        <v>759</v>
      </c>
      <c r="C69" s="5" t="s">
        <v>760</v>
      </c>
      <c r="D69" s="5"/>
    </row>
    <row r="70" customFormat="false" ht="30" hidden="false" customHeight="true" outlineLevel="0" collapsed="false">
      <c r="A70" s="5" t="s">
        <v>752</v>
      </c>
      <c r="B70" s="5" t="s">
        <v>761</v>
      </c>
      <c r="C70" s="5" t="s">
        <v>762</v>
      </c>
      <c r="D70" s="5"/>
    </row>
    <row r="71" customFormat="false" ht="30" hidden="false" customHeight="true" outlineLevel="0" collapsed="false">
      <c r="A71" s="5" t="s">
        <v>752</v>
      </c>
      <c r="B71" s="5" t="s">
        <v>763</v>
      </c>
      <c r="C71" s="5" t="s">
        <v>764</v>
      </c>
      <c r="D71" s="5"/>
    </row>
    <row r="72" customFormat="false" ht="16.5" hidden="false" customHeight="true" outlineLevel="0" collapsed="false">
      <c r="A72" s="5" t="s">
        <v>765</v>
      </c>
      <c r="B72" s="5" t="s">
        <v>766</v>
      </c>
      <c r="C72" s="5" t="s">
        <v>767</v>
      </c>
      <c r="D72" s="5"/>
    </row>
    <row r="73" customFormat="false" ht="16.5" hidden="false" customHeight="true" outlineLevel="0" collapsed="false">
      <c r="A73" s="5" t="s">
        <v>765</v>
      </c>
      <c r="B73" s="5" t="s">
        <v>768</v>
      </c>
      <c r="C73" s="5" t="s">
        <v>769</v>
      </c>
      <c r="D73" s="5"/>
    </row>
    <row r="74" customFormat="false" ht="30" hidden="false" customHeight="true" outlineLevel="0" collapsed="false">
      <c r="A74" s="5" t="s">
        <v>765</v>
      </c>
      <c r="B74" s="5" t="s">
        <v>770</v>
      </c>
      <c r="C74" s="5" t="s">
        <v>771</v>
      </c>
      <c r="D74" s="5"/>
    </row>
    <row r="75" customFormat="false" ht="30" hidden="false" customHeight="true" outlineLevel="0" collapsed="false">
      <c r="A75" s="5" t="s">
        <v>765</v>
      </c>
      <c r="B75" s="5" t="s">
        <v>772</v>
      </c>
      <c r="C75" s="5" t="s">
        <v>773</v>
      </c>
      <c r="D75" s="5"/>
    </row>
    <row r="76" customFormat="false" ht="43.5" hidden="false" customHeight="true" outlineLevel="0" collapsed="false">
      <c r="A76" s="5" t="s">
        <v>765</v>
      </c>
      <c r="B76" s="5" t="s">
        <v>774</v>
      </c>
      <c r="C76" s="5" t="s">
        <v>775</v>
      </c>
      <c r="D76" s="5"/>
    </row>
    <row r="77" customFormat="false" ht="16.5" hidden="false" customHeight="true" outlineLevel="0" collapsed="false">
      <c r="A77" s="5" t="s">
        <v>776</v>
      </c>
      <c r="B77" s="5" t="s">
        <v>777</v>
      </c>
      <c r="C77" s="5" t="s">
        <v>778</v>
      </c>
      <c r="D77" s="5"/>
    </row>
    <row r="78" customFormat="false" ht="16.5" hidden="false" customHeight="true" outlineLevel="0" collapsed="false">
      <c r="A78" s="5" t="s">
        <v>776</v>
      </c>
      <c r="B78" s="5" t="s">
        <v>779</v>
      </c>
      <c r="C78" s="5" t="s">
        <v>780</v>
      </c>
      <c r="D78" s="5"/>
    </row>
    <row r="79" customFormat="false" ht="30" hidden="false" customHeight="true" outlineLevel="0" collapsed="false">
      <c r="A79" s="5" t="s">
        <v>776</v>
      </c>
      <c r="B79" s="5" t="s">
        <v>781</v>
      </c>
      <c r="C79" s="5" t="s">
        <v>782</v>
      </c>
      <c r="D79" s="5"/>
    </row>
    <row r="80" customFormat="false" ht="16.5" hidden="false" customHeight="true" outlineLevel="0" collapsed="false">
      <c r="A80" s="5" t="s">
        <v>776</v>
      </c>
      <c r="B80" s="5" t="s">
        <v>783</v>
      </c>
      <c r="C80" s="5" t="s">
        <v>784</v>
      </c>
      <c r="D80" s="5"/>
    </row>
    <row r="81" customFormat="false" ht="30" hidden="false" customHeight="true" outlineLevel="0" collapsed="false">
      <c r="A81" s="5" t="s">
        <v>776</v>
      </c>
      <c r="B81" s="5" t="s">
        <v>785</v>
      </c>
      <c r="C81" s="5" t="s">
        <v>786</v>
      </c>
      <c r="D81" s="5"/>
    </row>
    <row r="82" customFormat="false" ht="16.5" hidden="false" customHeight="true" outlineLevel="0" collapsed="false">
      <c r="A82" s="5" t="s">
        <v>544</v>
      </c>
      <c r="B82" s="5" t="s">
        <v>787</v>
      </c>
      <c r="C82" s="5" t="s">
        <v>788</v>
      </c>
      <c r="D82" s="5"/>
    </row>
    <row r="83" customFormat="false" ht="16.5" hidden="false" customHeight="true" outlineLevel="0" collapsed="false">
      <c r="A83" s="5" t="s">
        <v>544</v>
      </c>
      <c r="B83" s="5" t="s">
        <v>789</v>
      </c>
      <c r="C83" s="5" t="s">
        <v>790</v>
      </c>
      <c r="D83" s="5"/>
    </row>
    <row r="84" customFormat="false" ht="16.5" hidden="false" customHeight="true" outlineLevel="0" collapsed="false">
      <c r="A84" s="5" t="s">
        <v>544</v>
      </c>
      <c r="B84" s="5" t="s">
        <v>791</v>
      </c>
      <c r="C84" s="5" t="s">
        <v>792</v>
      </c>
      <c r="D84" s="5"/>
    </row>
    <row r="85" customFormat="false" ht="30" hidden="false" customHeight="true" outlineLevel="0" collapsed="false">
      <c r="A85" s="5" t="s">
        <v>544</v>
      </c>
      <c r="B85" s="5" t="s">
        <v>793</v>
      </c>
      <c r="C85" s="5" t="s">
        <v>794</v>
      </c>
      <c r="D85" s="5"/>
    </row>
    <row r="86" customFormat="false" ht="43.5" hidden="false" customHeight="true" outlineLevel="0" collapsed="false">
      <c r="A86" s="5" t="s">
        <v>544</v>
      </c>
      <c r="B86" s="5" t="s">
        <v>795</v>
      </c>
      <c r="C86" s="5" t="s">
        <v>796</v>
      </c>
      <c r="D86" s="5"/>
    </row>
    <row r="87" customFormat="false" ht="30" hidden="false" customHeight="true" outlineLevel="0" collapsed="false">
      <c r="A87" s="5" t="s">
        <v>544</v>
      </c>
      <c r="B87" s="5" t="s">
        <v>797</v>
      </c>
      <c r="C87" s="5" t="s">
        <v>798</v>
      </c>
      <c r="D87" s="5"/>
    </row>
    <row r="88" customFormat="false" ht="16.5" hidden="false" customHeight="true" outlineLevel="0" collapsed="false">
      <c r="A88" s="5" t="s">
        <v>544</v>
      </c>
      <c r="B88" s="5" t="s">
        <v>799</v>
      </c>
      <c r="C88" s="5" t="s">
        <v>800</v>
      </c>
      <c r="D88" s="5"/>
    </row>
    <row r="89" customFormat="false" ht="30" hidden="false" customHeight="true" outlineLevel="0" collapsed="false">
      <c r="A89" s="5" t="s">
        <v>544</v>
      </c>
      <c r="B89" s="5" t="s">
        <v>801</v>
      </c>
      <c r="C89" s="5" t="s">
        <v>802</v>
      </c>
      <c r="D89" s="5"/>
    </row>
    <row r="90" customFormat="false" ht="16.5" hidden="false" customHeight="true" outlineLevel="0" collapsed="false">
      <c r="A90" s="5" t="s">
        <v>803</v>
      </c>
      <c r="B90" s="5" t="s">
        <v>804</v>
      </c>
      <c r="C90" s="5" t="s">
        <v>805</v>
      </c>
      <c r="D90" s="5"/>
    </row>
    <row r="91" customFormat="false" ht="30" hidden="false" customHeight="true" outlineLevel="0" collapsed="false">
      <c r="A91" s="5" t="s">
        <v>803</v>
      </c>
      <c r="B91" s="5" t="s">
        <v>806</v>
      </c>
      <c r="C91" s="5" t="s">
        <v>807</v>
      </c>
      <c r="D91" s="5"/>
    </row>
    <row r="92" customFormat="false" ht="30" hidden="false" customHeight="true" outlineLevel="0" collapsed="false">
      <c r="A92" s="5" t="s">
        <v>803</v>
      </c>
      <c r="B92" s="5" t="s">
        <v>808</v>
      </c>
      <c r="C92" s="5" t="s">
        <v>809</v>
      </c>
      <c r="D92" s="5"/>
    </row>
    <row r="93" customFormat="false" ht="43.5" hidden="false" customHeight="true" outlineLevel="0" collapsed="false">
      <c r="A93" s="5" t="s">
        <v>803</v>
      </c>
      <c r="B93" s="5" t="s">
        <v>810</v>
      </c>
      <c r="C93" s="5" t="s">
        <v>811</v>
      </c>
      <c r="D93" s="5"/>
    </row>
    <row r="94" customFormat="false" ht="30" hidden="false" customHeight="true" outlineLevel="0" collapsed="false">
      <c r="A94" s="5" t="s">
        <v>803</v>
      </c>
      <c r="B94" s="5" t="s">
        <v>812</v>
      </c>
      <c r="C94" s="5" t="s">
        <v>813</v>
      </c>
      <c r="D94" s="5"/>
    </row>
    <row r="95" customFormat="false" ht="30" hidden="false" customHeight="true" outlineLevel="0" collapsed="false">
      <c r="A95" s="5" t="s">
        <v>803</v>
      </c>
      <c r="B95" s="5" t="s">
        <v>814</v>
      </c>
      <c r="C95" s="5" t="s">
        <v>815</v>
      </c>
      <c r="D95" s="5"/>
    </row>
    <row r="96" customFormat="false" ht="16.5" hidden="false" customHeight="true" outlineLevel="0" collapsed="false">
      <c r="A96" s="5" t="s">
        <v>803</v>
      </c>
      <c r="B96" s="5" t="s">
        <v>816</v>
      </c>
      <c r="C96" s="5" t="s">
        <v>817</v>
      </c>
      <c r="D96" s="5"/>
    </row>
    <row r="97" customFormat="false" ht="16.5" hidden="false" customHeight="true" outlineLevel="0" collapsed="false">
      <c r="A97" s="5" t="s">
        <v>818</v>
      </c>
      <c r="B97" s="5" t="s">
        <v>819</v>
      </c>
      <c r="C97" s="5" t="s">
        <v>820</v>
      </c>
      <c r="D97" s="5"/>
    </row>
    <row r="98" customFormat="false" ht="16.5" hidden="false" customHeight="true" outlineLevel="0" collapsed="false">
      <c r="A98" s="5" t="s">
        <v>818</v>
      </c>
      <c r="B98" s="5" t="s">
        <v>821</v>
      </c>
      <c r="C98" s="5" t="s">
        <v>822</v>
      </c>
      <c r="D98" s="5"/>
    </row>
    <row r="99" customFormat="false" ht="30" hidden="false" customHeight="true" outlineLevel="0" collapsed="false">
      <c r="A99" s="5" t="s">
        <v>818</v>
      </c>
      <c r="B99" s="5" t="s">
        <v>823</v>
      </c>
      <c r="C99" s="5" t="s">
        <v>824</v>
      </c>
      <c r="D99" s="5"/>
    </row>
    <row r="100" customFormat="false" ht="30" hidden="false" customHeight="true" outlineLevel="0" collapsed="false">
      <c r="A100" s="5" t="s">
        <v>825</v>
      </c>
      <c r="B100" s="5" t="s">
        <v>826</v>
      </c>
      <c r="C100" s="5" t="s">
        <v>827</v>
      </c>
      <c r="D100" s="5"/>
    </row>
    <row r="101" customFormat="false" ht="16.5" hidden="false" customHeight="true" outlineLevel="0" collapsed="false">
      <c r="A101" s="5" t="s">
        <v>825</v>
      </c>
      <c r="B101" s="5" t="s">
        <v>828</v>
      </c>
      <c r="C101" s="5" t="s">
        <v>829</v>
      </c>
      <c r="D101" s="5"/>
    </row>
    <row r="102" customFormat="false" ht="30" hidden="false" customHeight="true" outlineLevel="0" collapsed="false">
      <c r="A102" s="5" t="s">
        <v>825</v>
      </c>
      <c r="B102" s="5" t="s">
        <v>830</v>
      </c>
      <c r="C102" s="5" t="s">
        <v>831</v>
      </c>
      <c r="D102" s="5"/>
    </row>
    <row r="103" customFormat="false" ht="30" hidden="false" customHeight="true" outlineLevel="0" collapsed="false">
      <c r="A103" s="5" t="s">
        <v>832</v>
      </c>
      <c r="B103" s="5" t="s">
        <v>833</v>
      </c>
      <c r="C103" s="5" t="s">
        <v>834</v>
      </c>
      <c r="D103" s="5"/>
    </row>
    <row r="104" customFormat="false" ht="16.5" hidden="false" customHeight="true" outlineLevel="0" collapsed="false">
      <c r="A104" s="5" t="s">
        <v>832</v>
      </c>
      <c r="B104" s="5" t="s">
        <v>835</v>
      </c>
      <c r="C104" s="5" t="s">
        <v>836</v>
      </c>
      <c r="D104" s="5"/>
    </row>
    <row r="105" customFormat="false" ht="43.5" hidden="false" customHeight="true" outlineLevel="0" collapsed="false">
      <c r="A105" s="5" t="s">
        <v>832</v>
      </c>
      <c r="B105" s="5" t="s">
        <v>837</v>
      </c>
      <c r="C105" s="5" t="s">
        <v>838</v>
      </c>
      <c r="D105" s="5"/>
    </row>
    <row r="106" customFormat="false" ht="30" hidden="false" customHeight="true" outlineLevel="0" collapsed="false">
      <c r="A106" s="5" t="s">
        <v>832</v>
      </c>
      <c r="B106" s="5" t="s">
        <v>839</v>
      </c>
      <c r="C106" s="5" t="s">
        <v>840</v>
      </c>
      <c r="D106" s="5"/>
    </row>
    <row r="107" customFormat="false" ht="30" hidden="false" customHeight="true" outlineLevel="0" collapsed="false">
      <c r="A107" s="5" t="s">
        <v>832</v>
      </c>
      <c r="B107" s="5" t="s">
        <v>841</v>
      </c>
      <c r="C107" s="5" t="s">
        <v>842</v>
      </c>
      <c r="D107" s="5"/>
    </row>
    <row r="108" customFormat="false" ht="30" hidden="false" customHeight="true" outlineLevel="0" collapsed="false">
      <c r="A108" s="5" t="s">
        <v>832</v>
      </c>
      <c r="B108" s="5" t="s">
        <v>843</v>
      </c>
      <c r="C108" s="5" t="s">
        <v>844</v>
      </c>
      <c r="D108" s="5"/>
    </row>
    <row r="109" customFormat="false" ht="30" hidden="false" customHeight="true" outlineLevel="0" collapsed="false">
      <c r="A109" s="5" t="s">
        <v>845</v>
      </c>
      <c r="B109" s="5" t="s">
        <v>846</v>
      </c>
      <c r="C109" s="5" t="s">
        <v>847</v>
      </c>
      <c r="D109" s="5"/>
    </row>
    <row r="110" customFormat="false" ht="16.5" hidden="false" customHeight="true" outlineLevel="0" collapsed="false">
      <c r="A110" s="5" t="s">
        <v>845</v>
      </c>
      <c r="B110" s="5" t="s">
        <v>848</v>
      </c>
      <c r="C110" s="5" t="s">
        <v>849</v>
      </c>
      <c r="D110" s="5"/>
    </row>
    <row r="111" customFormat="false" ht="30" hidden="false" customHeight="true" outlineLevel="0" collapsed="false">
      <c r="A111" s="5" t="s">
        <v>850</v>
      </c>
      <c r="B111" s="5" t="s">
        <v>851</v>
      </c>
      <c r="C111" s="5" t="s">
        <v>852</v>
      </c>
      <c r="D111" s="5"/>
    </row>
    <row r="112" customFormat="false" ht="30" hidden="false" customHeight="true" outlineLevel="0" collapsed="false">
      <c r="A112" s="5" t="s">
        <v>850</v>
      </c>
      <c r="B112" s="5" t="s">
        <v>853</v>
      </c>
      <c r="C112" s="5" t="s">
        <v>854</v>
      </c>
      <c r="D112" s="5"/>
    </row>
    <row r="113" customFormat="false" ht="16.5" hidden="false" customHeight="true" outlineLevel="0" collapsed="false">
      <c r="A113" s="5" t="s">
        <v>850</v>
      </c>
      <c r="B113" s="5" t="s">
        <v>855</v>
      </c>
      <c r="C113" s="5" t="s">
        <v>856</v>
      </c>
      <c r="D113" s="5"/>
    </row>
    <row r="114" customFormat="false" ht="16.5" hidden="false" customHeight="true" outlineLevel="0" collapsed="false">
      <c r="A114" s="5" t="s">
        <v>850</v>
      </c>
      <c r="B114" s="5" t="s">
        <v>857</v>
      </c>
      <c r="C114" s="5" t="s">
        <v>858</v>
      </c>
      <c r="D114" s="5"/>
    </row>
    <row r="115" customFormat="false" ht="16.5" hidden="false" customHeight="true" outlineLevel="0" collapsed="false">
      <c r="A115" s="5" t="s">
        <v>859</v>
      </c>
      <c r="B115" s="5" t="s">
        <v>860</v>
      </c>
      <c r="C115" s="5" t="s">
        <v>861</v>
      </c>
      <c r="D115" s="5"/>
    </row>
    <row r="116" customFormat="false" ht="30" hidden="false" customHeight="true" outlineLevel="0" collapsed="false">
      <c r="A116" s="5" t="s">
        <v>859</v>
      </c>
      <c r="B116" s="5" t="s">
        <v>862</v>
      </c>
      <c r="C116" s="5" t="s">
        <v>863</v>
      </c>
      <c r="D116" s="5"/>
    </row>
    <row r="117" customFormat="false" ht="16.5" hidden="false" customHeight="true" outlineLevel="0" collapsed="false">
      <c r="A117" s="5" t="s">
        <v>859</v>
      </c>
      <c r="B117" s="5" t="s">
        <v>864</v>
      </c>
      <c r="C117" s="5" t="s">
        <v>865</v>
      </c>
      <c r="D117" s="5"/>
    </row>
    <row r="118" customFormat="false" ht="30" hidden="false" customHeight="true" outlineLevel="0" collapsed="false">
      <c r="A118" s="5" t="s">
        <v>859</v>
      </c>
      <c r="B118" s="5" t="s">
        <v>866</v>
      </c>
      <c r="C118" s="5" t="s">
        <v>867</v>
      </c>
      <c r="D118" s="5"/>
    </row>
    <row r="119" customFormat="false" ht="30" hidden="false" customHeight="true" outlineLevel="0" collapsed="false">
      <c r="A119" s="5" t="s">
        <v>859</v>
      </c>
      <c r="B119" s="5" t="s">
        <v>868</v>
      </c>
      <c r="C119" s="5" t="s">
        <v>869</v>
      </c>
      <c r="D119" s="5"/>
    </row>
    <row r="120" customFormat="false" ht="30" hidden="false" customHeight="true" outlineLevel="0" collapsed="false">
      <c r="A120" s="5" t="s">
        <v>859</v>
      </c>
      <c r="B120" s="5" t="s">
        <v>870</v>
      </c>
      <c r="C120" s="5" t="s">
        <v>871</v>
      </c>
      <c r="D120" s="5"/>
    </row>
    <row r="121" customFormat="false" ht="30" hidden="false" customHeight="true" outlineLevel="0" collapsed="false">
      <c r="A121" s="5" t="s">
        <v>859</v>
      </c>
      <c r="B121" s="5" t="s">
        <v>872</v>
      </c>
      <c r="C121" s="5" t="s">
        <v>873</v>
      </c>
      <c r="D121" s="5"/>
    </row>
    <row r="122" customFormat="false" ht="30" hidden="false" customHeight="true" outlineLevel="0" collapsed="false">
      <c r="A122" s="5" t="s">
        <v>859</v>
      </c>
      <c r="B122" s="5" t="s">
        <v>874</v>
      </c>
      <c r="C122" s="5" t="s">
        <v>875</v>
      </c>
      <c r="D122" s="5"/>
    </row>
    <row r="123" customFormat="false" ht="30" hidden="false" customHeight="true" outlineLevel="0" collapsed="false">
      <c r="A123" s="5" t="s">
        <v>876</v>
      </c>
      <c r="B123" s="5" t="s">
        <v>877</v>
      </c>
      <c r="C123" s="5" t="s">
        <v>878</v>
      </c>
      <c r="D123" s="5"/>
    </row>
    <row r="124" customFormat="false" ht="30" hidden="false" customHeight="true" outlineLevel="0" collapsed="false">
      <c r="A124" s="5" t="s">
        <v>876</v>
      </c>
      <c r="B124" s="5" t="s">
        <v>879</v>
      </c>
      <c r="C124" s="5" t="s">
        <v>880</v>
      </c>
      <c r="D124" s="5"/>
    </row>
    <row r="125" customFormat="false" ht="7.5" hidden="false" customHeight="true" outlineLevel="0" collapsed="false"/>
  </sheetData>
  <mergeCells count="123">
    <mergeCell ref="A1:D1"/>
    <mergeCell ref="A2:D2"/>
    <mergeCell ref="A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1C1C"/>
    <pageSetUpPr fitToPage="false"/>
  </sheetPr>
  <dimension ref="A1:E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20"/>
    <col collapsed="false" customWidth="true" hidden="false" outlineLevel="0" max="3" min="3" style="0" width="70"/>
    <col collapsed="false" customWidth="true" hidden="false" outlineLevel="0" max="4" min="4" style="0" width="9"/>
    <col collapsed="false" customWidth="true" hidden="false" outlineLevel="0" max="5" min="5" style="0" width="12"/>
  </cols>
  <sheetData>
    <row r="1" customFormat="false" ht="27.75" hidden="false" customHeight="true" outlineLevel="0" collapsed="false">
      <c r="A1" s="12" t="s">
        <v>881</v>
      </c>
      <c r="B1" s="13"/>
      <c r="C1" s="13"/>
    </row>
    <row r="2" customFormat="false" ht="39.75" hidden="false" customHeight="true" outlineLevel="0" collapsed="false">
      <c r="A2" s="14" t="s">
        <v>882</v>
      </c>
      <c r="B2" s="14"/>
      <c r="C2" s="14"/>
    </row>
    <row r="4" customFormat="false" ht="15" hidden="false" customHeight="false" outlineLevel="0" collapsed="false">
      <c r="A4" s="15" t="s">
        <v>883</v>
      </c>
      <c r="B4" s="16"/>
      <c r="C4" s="16"/>
    </row>
    <row r="5" customFormat="false" ht="15" hidden="false" customHeight="false" outlineLevel="0" collapsed="false">
      <c r="A5" s="17" t="s">
        <v>884</v>
      </c>
      <c r="B5" s="18" t="n">
        <v>1240000</v>
      </c>
      <c r="C5" s="19" t="s">
        <v>885</v>
      </c>
    </row>
    <row r="6" customFormat="false" ht="15" hidden="false" customHeight="false" outlineLevel="0" collapsed="false">
      <c r="A6" s="20" t="s">
        <v>886</v>
      </c>
      <c r="B6" s="20" t="s">
        <v>887</v>
      </c>
      <c r="C6" s="20" t="s">
        <v>888</v>
      </c>
      <c r="D6" s="21" t="s">
        <v>166</v>
      </c>
      <c r="E6" s="21" t="s">
        <v>889</v>
      </c>
    </row>
    <row r="7" customFormat="false" ht="15" hidden="false" customHeight="false" outlineLevel="0" collapsed="false">
      <c r="A7" s="22" t="s">
        <v>890</v>
      </c>
      <c r="B7" s="23" t="n">
        <v>0</v>
      </c>
      <c r="C7" s="24" t="s">
        <v>891</v>
      </c>
      <c r="D7" s="25" t="n">
        <v>0</v>
      </c>
      <c r="E7" s="26" t="n">
        <v>0</v>
      </c>
    </row>
    <row r="8" customFormat="false" ht="15" hidden="false" customHeight="false" outlineLevel="0" collapsed="false">
      <c r="A8" s="22" t="s">
        <v>892</v>
      </c>
      <c r="B8" s="23" t="n">
        <v>250000</v>
      </c>
      <c r="C8" s="24" t="s">
        <v>893</v>
      </c>
      <c r="D8" s="25" t="n">
        <v>0.15</v>
      </c>
      <c r="E8" s="26" t="n">
        <v>0</v>
      </c>
    </row>
    <row r="9" customFormat="false" ht="15" hidden="false" customHeight="false" outlineLevel="0" collapsed="false">
      <c r="A9" s="22" t="s">
        <v>894</v>
      </c>
      <c r="B9" s="23" t="n">
        <v>400000</v>
      </c>
      <c r="C9" s="24" t="s">
        <v>895</v>
      </c>
      <c r="D9" s="25" t="n">
        <v>0.2</v>
      </c>
      <c r="E9" s="26" t="n">
        <v>22500</v>
      </c>
    </row>
    <row r="10" customFormat="false" ht="15" hidden="false" customHeight="false" outlineLevel="0" collapsed="false">
      <c r="A10" s="22" t="s">
        <v>896</v>
      </c>
      <c r="B10" s="23" t="n">
        <v>800000</v>
      </c>
      <c r="C10" s="24" t="s">
        <v>897</v>
      </c>
      <c r="D10" s="25" t="n">
        <v>0.25</v>
      </c>
      <c r="E10" s="26" t="n">
        <v>102500</v>
      </c>
    </row>
    <row r="11" customFormat="false" ht="15" hidden="false" customHeight="false" outlineLevel="0" collapsed="false">
      <c r="A11" s="22" t="s">
        <v>898</v>
      </c>
      <c r="B11" s="23" t="n">
        <v>2000000</v>
      </c>
      <c r="C11" s="24" t="s">
        <v>899</v>
      </c>
      <c r="D11" s="25" t="n">
        <v>0.3</v>
      </c>
      <c r="E11" s="26" t="n">
        <v>402500</v>
      </c>
    </row>
    <row r="12" customFormat="false" ht="15" hidden="false" customHeight="false" outlineLevel="0" collapsed="false">
      <c r="A12" s="22" t="s">
        <v>900</v>
      </c>
      <c r="B12" s="23" t="n">
        <v>8000000</v>
      </c>
      <c r="C12" s="24" t="s">
        <v>901</v>
      </c>
      <c r="D12" s="25" t="n">
        <v>0.35</v>
      </c>
      <c r="E12" s="26" t="n">
        <v>2202500</v>
      </c>
    </row>
    <row r="13" customFormat="false" ht="27.75" hidden="false" customHeight="true" outlineLevel="0" collapsed="false">
      <c r="A13" s="27" t="s">
        <v>902</v>
      </c>
      <c r="B13" s="28" t="n">
        <f aca="false">INDEX($E$7:$E$12,MATCH(B5,$B$7:$B$12,1))+INDEX($D$7:$D$12,MATCH(B5,$B$7:$B$12,1))*(B5-INDEX($B$7:$B$12,MATCH(B5,$B$7:$B$12,1)))</f>
        <v>212500</v>
      </c>
      <c r="C13" s="19" t="s">
        <v>903</v>
      </c>
    </row>
    <row r="15" customFormat="false" ht="15" hidden="false" customHeight="false" outlineLevel="0" collapsed="false">
      <c r="A15" s="15" t="s">
        <v>904</v>
      </c>
      <c r="B15" s="16"/>
      <c r="C15" s="16"/>
    </row>
    <row r="16" customFormat="false" ht="15" hidden="false" customHeight="false" outlineLevel="0" collapsed="false">
      <c r="A16" s="17" t="s">
        <v>905</v>
      </c>
      <c r="B16" s="18" t="n">
        <v>2500000</v>
      </c>
      <c r="C16" s="19" t="s">
        <v>906</v>
      </c>
    </row>
    <row r="17" customFormat="false" ht="15" hidden="false" customHeight="false" outlineLevel="0" collapsed="false">
      <c r="A17" s="17" t="s">
        <v>907</v>
      </c>
      <c r="B17" s="18" t="n">
        <v>0</v>
      </c>
      <c r="C17" s="19" t="s">
        <v>908</v>
      </c>
    </row>
    <row r="18" customFormat="false" ht="15" hidden="false" customHeight="false" outlineLevel="0" collapsed="false">
      <c r="A18" s="17" t="s">
        <v>909</v>
      </c>
      <c r="B18" s="29" t="n">
        <v>1</v>
      </c>
      <c r="C18" s="19" t="s">
        <v>910</v>
      </c>
    </row>
    <row r="19" customFormat="false" ht="15" hidden="false" customHeight="false" outlineLevel="0" collapsed="false">
      <c r="A19" s="27" t="s">
        <v>911</v>
      </c>
      <c r="B19" s="28" t="n">
        <f aca="false">IF(B16&gt;3000000,"Not eligible (over P3M)",0.08*MAX(0,B16+B17-IF(B18=1,0,250000)))</f>
        <v>200000</v>
      </c>
      <c r="C19" s="19" t="s">
        <v>912</v>
      </c>
    </row>
    <row r="20" customFormat="false" ht="15" hidden="false" customHeight="false" outlineLevel="0" collapsed="false">
      <c r="A20" s="27" t="s">
        <v>913</v>
      </c>
      <c r="B20" s="28" t="n">
        <f aca="false">B13+IF(ISNUMBER(B19),B19,0)</f>
        <v>412500</v>
      </c>
      <c r="C20" s="19" t="s">
        <v>914</v>
      </c>
    </row>
    <row r="21" customFormat="false" ht="15" hidden="false" customHeight="false" outlineLevel="0" collapsed="false">
      <c r="A21" s="17" t="s">
        <v>915</v>
      </c>
      <c r="B21" s="18" t="n">
        <v>262000</v>
      </c>
      <c r="C21" s="19" t="s">
        <v>916</v>
      </c>
    </row>
    <row r="22" customFormat="false" ht="15" hidden="false" customHeight="false" outlineLevel="0" collapsed="false">
      <c r="A22" s="27" t="s">
        <v>917</v>
      </c>
      <c r="B22" s="28" t="n">
        <f aca="false">B20-B21</f>
        <v>150500</v>
      </c>
      <c r="C22" s="19" t="s">
        <v>918</v>
      </c>
    </row>
    <row r="24" customFormat="false" ht="15" hidden="false" customHeight="false" outlineLevel="0" collapsed="false">
      <c r="A24" s="15" t="s">
        <v>919</v>
      </c>
      <c r="B24" s="16"/>
      <c r="C24" s="16"/>
    </row>
    <row r="25" customFormat="false" ht="15" hidden="false" customHeight="false" outlineLevel="0" collapsed="false">
      <c r="A25" s="17" t="s">
        <v>920</v>
      </c>
      <c r="B25" s="18" t="n">
        <v>4000000</v>
      </c>
      <c r="C25" s="19"/>
    </row>
    <row r="26" customFormat="false" ht="15" hidden="false" customHeight="false" outlineLevel="0" collapsed="false">
      <c r="A26" s="17" t="s">
        <v>921</v>
      </c>
      <c r="B26" s="18" t="n">
        <v>2000000</v>
      </c>
      <c r="C26" s="19"/>
    </row>
    <row r="27" customFormat="false" ht="23.85" hidden="false" customHeight="false" outlineLevel="0" collapsed="false">
      <c r="A27" s="17" t="s">
        <v>922</v>
      </c>
      <c r="B27" s="29" t="n">
        <v>0</v>
      </c>
      <c r="C27" s="19" t="s">
        <v>923</v>
      </c>
    </row>
    <row r="28" customFormat="false" ht="15" hidden="false" customHeight="false" outlineLevel="0" collapsed="false">
      <c r="A28" s="17" t="s">
        <v>924</v>
      </c>
      <c r="B28" s="30" t="n">
        <f aca="false">B25-B26</f>
        <v>2000000</v>
      </c>
      <c r="C28" s="19"/>
    </row>
    <row r="29" customFormat="false" ht="15" hidden="false" customHeight="false" outlineLevel="0" collapsed="false">
      <c r="A29" s="17" t="s">
        <v>925</v>
      </c>
      <c r="B29" s="30" t="n">
        <f aca="false">MAX(0,B28)*IF(B27=1,0.2,0.25)</f>
        <v>500000</v>
      </c>
      <c r="C29" s="19" t="s">
        <v>926</v>
      </c>
    </row>
    <row r="30" customFormat="false" ht="15" hidden="false" customHeight="false" outlineLevel="0" collapsed="false">
      <c r="A30" s="17" t="s">
        <v>927</v>
      </c>
      <c r="B30" s="30" t="n">
        <f aca="false">0.02*B25</f>
        <v>80000</v>
      </c>
      <c r="C30" s="19"/>
    </row>
    <row r="31" customFormat="false" ht="15" hidden="false" customHeight="false" outlineLevel="0" collapsed="false">
      <c r="A31" s="27" t="s">
        <v>928</v>
      </c>
      <c r="B31" s="28" t="n">
        <f aca="false">MAX(B29,B30)</f>
        <v>500000</v>
      </c>
      <c r="C31" s="19" t="s">
        <v>929</v>
      </c>
    </row>
    <row r="33" customFormat="false" ht="15" hidden="false" customHeight="false" outlineLevel="0" collapsed="false">
      <c r="A33" s="15" t="s">
        <v>930</v>
      </c>
      <c r="B33" s="16"/>
      <c r="C33" s="16"/>
    </row>
    <row r="34" customFormat="false" ht="15" hidden="false" customHeight="false" outlineLevel="0" collapsed="false">
      <c r="A34" s="17" t="s">
        <v>931</v>
      </c>
      <c r="B34" s="18" t="n">
        <v>100000</v>
      </c>
      <c r="C34" s="19" t="s">
        <v>932</v>
      </c>
    </row>
    <row r="35" customFormat="false" ht="15" hidden="false" customHeight="false" outlineLevel="0" collapsed="false">
      <c r="A35" s="17" t="s">
        <v>933</v>
      </c>
      <c r="B35" s="31" t="n">
        <v>0.35</v>
      </c>
      <c r="C35" s="19"/>
    </row>
    <row r="36" customFormat="false" ht="15" hidden="false" customHeight="false" outlineLevel="0" collapsed="false">
      <c r="A36" s="17" t="s">
        <v>934</v>
      </c>
      <c r="B36" s="30" t="n">
        <f aca="false">B34/(1-B35)</f>
        <v>153846.153846154</v>
      </c>
      <c r="C36" s="19" t="s">
        <v>935</v>
      </c>
    </row>
    <row r="37" customFormat="false" ht="15" hidden="false" customHeight="false" outlineLevel="0" collapsed="false">
      <c r="A37" s="27" t="s">
        <v>936</v>
      </c>
      <c r="B37" s="28" t="n">
        <f aca="false">B36*B35</f>
        <v>53846.1538461538</v>
      </c>
      <c r="C37" s="19" t="s">
        <v>937</v>
      </c>
    </row>
    <row r="39" customFormat="false" ht="15" hidden="false" customHeight="false" outlineLevel="0" collapsed="false">
      <c r="A39" s="15" t="s">
        <v>938</v>
      </c>
      <c r="B39" s="16"/>
      <c r="C39" s="16"/>
    </row>
    <row r="40" customFormat="false" ht="15" hidden="false" customHeight="false" outlineLevel="0" collapsed="false">
      <c r="A40" s="17" t="s">
        <v>939</v>
      </c>
      <c r="B40" s="18" t="n">
        <v>750000</v>
      </c>
      <c r="C40" s="19" t="s">
        <v>940</v>
      </c>
    </row>
    <row r="41" customFormat="false" ht="15" hidden="false" customHeight="false" outlineLevel="0" collapsed="false">
      <c r="A41" s="27" t="s">
        <v>941</v>
      </c>
      <c r="B41" s="28" t="n">
        <f aca="false">0.06*MAX(0,B40-250000)</f>
        <v>30000</v>
      </c>
      <c r="C41" s="19" t="s">
        <v>942</v>
      </c>
    </row>
    <row r="43" customFormat="false" ht="15" hidden="false" customHeight="false" outlineLevel="0" collapsed="false">
      <c r="A43" s="15" t="s">
        <v>943</v>
      </c>
      <c r="B43" s="16"/>
      <c r="C43" s="16"/>
    </row>
    <row r="44" customFormat="false" ht="15" hidden="false" customHeight="false" outlineLevel="0" collapsed="false">
      <c r="A44" s="17" t="s">
        <v>944</v>
      </c>
      <c r="B44" s="18" t="n">
        <v>19000000</v>
      </c>
      <c r="C44" s="19"/>
    </row>
    <row r="45" customFormat="false" ht="15" hidden="false" customHeight="false" outlineLevel="0" collapsed="false">
      <c r="A45" s="17" t="s">
        <v>945</v>
      </c>
      <c r="B45" s="18" t="n">
        <v>26000000</v>
      </c>
      <c r="C45" s="19"/>
    </row>
    <row r="46" customFormat="false" ht="15" hidden="false" customHeight="false" outlineLevel="0" collapsed="false">
      <c r="A46" s="17" t="s">
        <v>946</v>
      </c>
      <c r="B46" s="18" t="n">
        <v>1000000</v>
      </c>
      <c r="C46" s="19"/>
    </row>
    <row r="47" customFormat="false" ht="15" hidden="false" customHeight="false" outlineLevel="0" collapsed="false">
      <c r="A47" s="17" t="s">
        <v>947</v>
      </c>
      <c r="B47" s="18" t="n">
        <v>3000000</v>
      </c>
      <c r="C47" s="19"/>
    </row>
    <row r="48" customFormat="false" ht="15" hidden="false" customHeight="false" outlineLevel="0" collapsed="false">
      <c r="A48" s="17" t="s">
        <v>948</v>
      </c>
      <c r="B48" s="18" t="n">
        <v>10000000</v>
      </c>
      <c r="C48" s="19" t="s">
        <v>949</v>
      </c>
    </row>
    <row r="49" customFormat="false" ht="15" hidden="false" customHeight="false" outlineLevel="0" collapsed="false">
      <c r="A49" s="17" t="s">
        <v>950</v>
      </c>
      <c r="B49" s="18" t="n">
        <v>0</v>
      </c>
      <c r="C49" s="19"/>
    </row>
    <row r="50" customFormat="false" ht="15" hidden="false" customHeight="false" outlineLevel="0" collapsed="false">
      <c r="A50" s="17" t="s">
        <v>951</v>
      </c>
      <c r="B50" s="30" t="n">
        <f aca="false">B44+B45</f>
        <v>45000000</v>
      </c>
      <c r="C50" s="19"/>
    </row>
    <row r="51" customFormat="false" ht="15" hidden="false" customHeight="false" outlineLevel="0" collapsed="false">
      <c r="A51" s="17" t="s">
        <v>952</v>
      </c>
      <c r="B51" s="30" t="n">
        <f aca="false">B50-B46-B47</f>
        <v>41000000</v>
      </c>
      <c r="C51" s="19"/>
    </row>
    <row r="52" customFormat="false" ht="15" hidden="false" customHeight="false" outlineLevel="0" collapsed="false">
      <c r="A52" s="17" t="s">
        <v>953</v>
      </c>
      <c r="B52" s="30" t="n">
        <f aca="false">(B45-B47)/2</f>
        <v>11500000</v>
      </c>
      <c r="C52" s="19"/>
    </row>
    <row r="53" customFormat="false" ht="23.85" hidden="false" customHeight="false" outlineLevel="0" collapsed="false">
      <c r="A53" s="17" t="s">
        <v>954</v>
      </c>
      <c r="B53" s="30" t="n">
        <f aca="false">5000000+MIN(B48,10000000)+B49+B52</f>
        <v>26500000</v>
      </c>
      <c r="C53" s="19"/>
    </row>
    <row r="54" customFormat="false" ht="15" hidden="false" customHeight="false" outlineLevel="0" collapsed="false">
      <c r="A54" s="17" t="s">
        <v>955</v>
      </c>
      <c r="B54" s="30" t="n">
        <f aca="false">MAX(0,B51-B53)</f>
        <v>14500000</v>
      </c>
      <c r="C54" s="19"/>
    </row>
    <row r="55" customFormat="false" ht="15" hidden="false" customHeight="false" outlineLevel="0" collapsed="false">
      <c r="A55" s="27" t="s">
        <v>956</v>
      </c>
      <c r="B55" s="28" t="n">
        <f aca="false">0.06*B54</f>
        <v>870000</v>
      </c>
      <c r="C55" s="19" t="s">
        <v>957</v>
      </c>
    </row>
    <row r="57" customFormat="false" ht="15" hidden="false" customHeight="false" outlineLevel="0" collapsed="false">
      <c r="A57" s="15" t="s">
        <v>958</v>
      </c>
      <c r="B57" s="16"/>
      <c r="C57" s="16"/>
    </row>
    <row r="58" customFormat="false" ht="15" hidden="false" customHeight="false" outlineLevel="0" collapsed="false">
      <c r="A58" s="17" t="s">
        <v>959</v>
      </c>
      <c r="B58" s="18" t="n">
        <v>1000000</v>
      </c>
      <c r="C58" s="19"/>
    </row>
    <row r="59" customFormat="false" ht="15" hidden="false" customHeight="false" outlineLevel="0" collapsed="false">
      <c r="A59" s="17" t="s">
        <v>960</v>
      </c>
      <c r="B59" s="18" t="n">
        <v>200000</v>
      </c>
      <c r="C59" s="19" t="s">
        <v>961</v>
      </c>
    </row>
    <row r="60" customFormat="false" ht="27.75" hidden="false" customHeight="true" outlineLevel="0" collapsed="false">
      <c r="A60" s="17" t="s">
        <v>962</v>
      </c>
      <c r="B60" s="18" t="n">
        <v>0</v>
      </c>
      <c r="C60" s="19" t="s">
        <v>963</v>
      </c>
    </row>
    <row r="61" customFormat="false" ht="15" hidden="false" customHeight="false" outlineLevel="0" collapsed="false">
      <c r="A61" s="17" t="s">
        <v>964</v>
      </c>
      <c r="B61" s="30" t="n">
        <f aca="false">0.12*B58</f>
        <v>120000</v>
      </c>
      <c r="C61" s="19"/>
    </row>
    <row r="62" customFormat="false" ht="15" hidden="false" customHeight="false" outlineLevel="0" collapsed="false">
      <c r="A62" s="27" t="s">
        <v>965</v>
      </c>
      <c r="B62" s="28" t="n">
        <f aca="false">B61-B60</f>
        <v>120000</v>
      </c>
      <c r="C62" s="19" t="s">
        <v>966</v>
      </c>
    </row>
    <row r="63" customFormat="false" ht="15" hidden="false" customHeight="false" outlineLevel="0" collapsed="false">
      <c r="A63" s="17" t="s">
        <v>967</v>
      </c>
      <c r="B63" s="18" t="n">
        <v>3000000</v>
      </c>
      <c r="C63" s="19" t="s">
        <v>968</v>
      </c>
    </row>
    <row r="64" customFormat="false" ht="15" hidden="false" customHeight="false" outlineLevel="0" collapsed="false">
      <c r="A64" s="17" t="s">
        <v>969</v>
      </c>
      <c r="B64" s="30" t="n">
        <f aca="false">0.12*B63</f>
        <v>360000</v>
      </c>
      <c r="C64" s="19" t="s">
        <v>970</v>
      </c>
    </row>
    <row r="65" customFormat="false" ht="15" hidden="false" customHeight="false" outlineLevel="0" collapsed="false">
      <c r="A65" s="27" t="s">
        <v>971</v>
      </c>
      <c r="B65" s="28" t="n">
        <f aca="false">0.12*B63/60*3</f>
        <v>18000</v>
      </c>
      <c r="C65" s="19" t="s">
        <v>972</v>
      </c>
    </row>
    <row r="67" customFormat="false" ht="15" hidden="false" customHeight="false" outlineLevel="0" collapsed="false">
      <c r="A67" s="15" t="s">
        <v>973</v>
      </c>
      <c r="B67" s="16"/>
      <c r="C67" s="16"/>
    </row>
    <row r="68" customFormat="false" ht="15" hidden="false" customHeight="false" outlineLevel="0" collapsed="false">
      <c r="A68" s="17" t="s">
        <v>974</v>
      </c>
      <c r="B68" s="18" t="n">
        <v>1000000</v>
      </c>
      <c r="C68" s="19"/>
    </row>
    <row r="69" customFormat="false" ht="15" hidden="false" customHeight="false" outlineLevel="0" collapsed="false">
      <c r="A69" s="17" t="s">
        <v>975</v>
      </c>
      <c r="B69" s="18" t="n">
        <v>600000</v>
      </c>
      <c r="C69" s="19"/>
    </row>
    <row r="70" customFormat="false" ht="15" hidden="false" customHeight="false" outlineLevel="0" collapsed="false">
      <c r="A70" s="17" t="s">
        <v>976</v>
      </c>
      <c r="B70" s="18" t="n">
        <v>700000</v>
      </c>
      <c r="C70" s="19" t="s">
        <v>977</v>
      </c>
    </row>
    <row r="71" customFormat="false" ht="15" hidden="false" customHeight="false" outlineLevel="0" collapsed="false">
      <c r="A71" s="17" t="s">
        <v>978</v>
      </c>
      <c r="B71" s="18" t="n">
        <v>100000</v>
      </c>
      <c r="C71" s="19"/>
    </row>
    <row r="72" customFormat="false" ht="15" hidden="false" customHeight="false" outlineLevel="0" collapsed="false">
      <c r="A72" s="17" t="s">
        <v>979</v>
      </c>
      <c r="B72" s="30" t="n">
        <f aca="false">MAX(0,B70-B69)</f>
        <v>100000</v>
      </c>
      <c r="C72" s="19"/>
    </row>
    <row r="73" customFormat="false" ht="15" hidden="false" customHeight="false" outlineLevel="0" collapsed="false">
      <c r="A73" s="17" t="s">
        <v>980</v>
      </c>
      <c r="B73" s="30" t="n">
        <f aca="false">B71+B72</f>
        <v>200000</v>
      </c>
      <c r="C73" s="19" t="s">
        <v>981</v>
      </c>
    </row>
    <row r="74" customFormat="false" ht="15" hidden="false" customHeight="false" outlineLevel="0" collapsed="false">
      <c r="A74" s="17" t="s">
        <v>982</v>
      </c>
      <c r="B74" s="32" t="n">
        <f aca="false">B73/B68</f>
        <v>0.2</v>
      </c>
      <c r="C74" s="19"/>
    </row>
    <row r="75" customFormat="false" ht="15" hidden="false" customHeight="false" outlineLevel="0" collapsed="false">
      <c r="A75" s="17" t="s">
        <v>983</v>
      </c>
      <c r="B75" s="30" t="n">
        <f aca="false">B68-B70+B72</f>
        <v>400000</v>
      </c>
      <c r="C75" s="19" t="s">
        <v>984</v>
      </c>
    </row>
    <row r="76" customFormat="false" ht="15" hidden="false" customHeight="false" outlineLevel="0" collapsed="false">
      <c r="A76" s="17" t="s">
        <v>985</v>
      </c>
      <c r="B76" s="30" t="n">
        <f aca="false">B68-B69</f>
        <v>400000</v>
      </c>
      <c r="C76" s="19"/>
    </row>
    <row r="77" customFormat="false" ht="15" hidden="false" customHeight="false" outlineLevel="0" collapsed="false">
      <c r="A77" s="17" t="s">
        <v>986</v>
      </c>
      <c r="B77" s="32" t="n">
        <f aca="false">B76/B75</f>
        <v>1</v>
      </c>
      <c r="C77" s="19"/>
    </row>
    <row r="78" customFormat="false" ht="15" hidden="false" customHeight="false" outlineLevel="0" collapsed="false">
      <c r="A78" s="27" t="s">
        <v>987</v>
      </c>
      <c r="B78" s="28" t="n">
        <f aca="false">B76/B75*B73</f>
        <v>200000</v>
      </c>
      <c r="C78" s="19" t="s">
        <v>988</v>
      </c>
    </row>
    <row r="80" customFormat="false" ht="15" hidden="false" customHeight="false" outlineLevel="0" collapsed="false">
      <c r="A80" s="15" t="s">
        <v>989</v>
      </c>
      <c r="B80" s="16"/>
      <c r="C80" s="16"/>
    </row>
    <row r="81" customFormat="false" ht="15" hidden="false" customHeight="false" outlineLevel="0" collapsed="false">
      <c r="A81" s="17" t="s">
        <v>990</v>
      </c>
      <c r="B81" s="33" t="n">
        <v>2.5</v>
      </c>
      <c r="C81" s="19"/>
    </row>
    <row r="82" customFormat="false" ht="15" hidden="false" customHeight="false" outlineLevel="0" collapsed="false">
      <c r="A82" s="27" t="s">
        <v>991</v>
      </c>
      <c r="B82" s="34" t="n">
        <f aca="false">IF(B81&lt;=1,1,IF(B81&lt;=2,0.8,IF(B81&lt;=3,0.6,IF(B81&lt;=4,0.4,IF(B81&lt;=5,0.2,0)))))</f>
        <v>0.6</v>
      </c>
      <c r="C82" s="19" t="s">
        <v>992</v>
      </c>
    </row>
    <row r="84" customFormat="false" ht="30" hidden="false" customHeight="true" outlineLevel="0" collapsed="false">
      <c r="A84" s="14" t="s">
        <v>993</v>
      </c>
      <c r="B84" s="14"/>
      <c r="C84" s="14"/>
    </row>
  </sheetData>
  <mergeCells count="2">
    <mergeCell ref="A2:C2"/>
    <mergeCell ref="A84:C8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1C1C"/>
    <pageSetUpPr fitToPage="false"/>
  </sheetPr>
  <dimension ref="A1: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38"/>
  </cols>
  <sheetData>
    <row r="1" customFormat="false" ht="30" hidden="false" customHeight="true" outlineLevel="0" collapsed="false">
      <c r="A1" s="1" t="s">
        <v>994</v>
      </c>
      <c r="B1" s="1"/>
      <c r="C1" s="1"/>
      <c r="D1" s="1"/>
    </row>
    <row r="2" customFormat="false" ht="33" hidden="false" customHeight="true" outlineLevel="0" collapsed="false">
      <c r="A2" s="2" t="s">
        <v>995</v>
      </c>
      <c r="B2" s="2"/>
      <c r="C2" s="2"/>
      <c r="D2" s="2"/>
    </row>
    <row r="3" customFormat="false" ht="7.5" hidden="false" customHeight="true" outlineLevel="0" collapsed="false"/>
    <row r="4" customFormat="false" ht="16.5" hidden="false" customHeight="true" outlineLevel="0" collapsed="false">
      <c r="A4" s="4" t="s">
        <v>996</v>
      </c>
      <c r="B4" s="4" t="s">
        <v>997</v>
      </c>
      <c r="C4" s="4" t="s">
        <v>998</v>
      </c>
      <c r="D4" s="4" t="s">
        <v>999</v>
      </c>
    </row>
    <row r="5" customFormat="false" ht="82.5" hidden="false" customHeight="true" outlineLevel="0" collapsed="false">
      <c r="A5" s="5" t="s">
        <v>1000</v>
      </c>
      <c r="B5" s="5" t="s">
        <v>1001</v>
      </c>
      <c r="C5" s="5" t="s">
        <v>1002</v>
      </c>
      <c r="D5" s="5" t="s">
        <v>1003</v>
      </c>
    </row>
    <row r="6" customFormat="false" ht="43.5" hidden="false" customHeight="true" outlineLevel="0" collapsed="false">
      <c r="A6" s="5" t="s">
        <v>1004</v>
      </c>
      <c r="B6" s="5" t="s">
        <v>1005</v>
      </c>
      <c r="C6" s="5" t="s">
        <v>1006</v>
      </c>
      <c r="D6" s="5" t="s">
        <v>1007</v>
      </c>
    </row>
    <row r="7" customFormat="false" ht="43.5" hidden="false" customHeight="true" outlineLevel="0" collapsed="false">
      <c r="A7" s="5" t="s">
        <v>1008</v>
      </c>
      <c r="B7" s="5" t="s">
        <v>1009</v>
      </c>
      <c r="C7" s="5" t="s">
        <v>1010</v>
      </c>
      <c r="D7" s="5" t="s">
        <v>1011</v>
      </c>
    </row>
    <row r="8" customFormat="false" ht="43.5" hidden="false" customHeight="true" outlineLevel="0" collapsed="false">
      <c r="A8" s="5" t="s">
        <v>1012</v>
      </c>
      <c r="B8" s="5" t="s">
        <v>1013</v>
      </c>
      <c r="C8" s="5" t="s">
        <v>1014</v>
      </c>
      <c r="D8" s="5" t="s">
        <v>1015</v>
      </c>
    </row>
    <row r="9" customFormat="false" ht="43.5" hidden="false" customHeight="true" outlineLevel="0" collapsed="false">
      <c r="A9" s="5" t="s">
        <v>1016</v>
      </c>
      <c r="B9" s="5" t="s">
        <v>1017</v>
      </c>
      <c r="C9" s="5" t="s">
        <v>1018</v>
      </c>
      <c r="D9" s="5" t="s">
        <v>1019</v>
      </c>
    </row>
    <row r="10" customFormat="false" ht="43.5" hidden="false" customHeight="true" outlineLevel="0" collapsed="false">
      <c r="A10" s="5" t="s">
        <v>1020</v>
      </c>
      <c r="B10" s="5" t="s">
        <v>1021</v>
      </c>
      <c r="C10" s="5" t="s">
        <v>1022</v>
      </c>
      <c r="D10" s="5" t="s">
        <v>1023</v>
      </c>
    </row>
    <row r="11" customFormat="false" ht="82.5" hidden="false" customHeight="true" outlineLevel="0" collapsed="false">
      <c r="A11" s="5" t="s">
        <v>1024</v>
      </c>
      <c r="B11" s="5" t="s">
        <v>1025</v>
      </c>
      <c r="C11" s="5" t="s">
        <v>1026</v>
      </c>
      <c r="D11" s="5" t="s">
        <v>1027</v>
      </c>
    </row>
    <row r="12" customFormat="false" ht="43.5" hidden="false" customHeight="true" outlineLevel="0" collapsed="false">
      <c r="A12" s="5" t="s">
        <v>1028</v>
      </c>
      <c r="B12" s="5" t="s">
        <v>1029</v>
      </c>
      <c r="C12" s="5" t="s">
        <v>1030</v>
      </c>
      <c r="D12" s="5" t="s">
        <v>1031</v>
      </c>
    </row>
    <row r="13" customFormat="false" ht="69.75" hidden="false" customHeight="true" outlineLevel="0" collapsed="false">
      <c r="A13" s="5" t="s">
        <v>1032</v>
      </c>
      <c r="B13" s="5" t="s">
        <v>1033</v>
      </c>
      <c r="C13" s="5" t="s">
        <v>1034</v>
      </c>
      <c r="D13" s="5" t="s">
        <v>1035</v>
      </c>
    </row>
    <row r="14" customFormat="false" ht="43.5" hidden="false" customHeight="true" outlineLevel="0" collapsed="false">
      <c r="A14" s="5" t="s">
        <v>1036</v>
      </c>
      <c r="B14" s="5" t="s">
        <v>1037</v>
      </c>
      <c r="C14" s="5" t="s">
        <v>1038</v>
      </c>
      <c r="D14" s="5" t="s">
        <v>1039</v>
      </c>
    </row>
    <row r="15" customFormat="false" ht="43.5" hidden="false" customHeight="true" outlineLevel="0" collapsed="false">
      <c r="A15" s="5" t="s">
        <v>1040</v>
      </c>
      <c r="B15" s="5" t="s">
        <v>1041</v>
      </c>
      <c r="C15" s="5" t="s">
        <v>1042</v>
      </c>
      <c r="D15" s="5" t="s">
        <v>1043</v>
      </c>
    </row>
    <row r="16" customFormat="false" ht="30" hidden="false" customHeight="true" outlineLevel="0" collapsed="false">
      <c r="A16" s="5" t="s">
        <v>1044</v>
      </c>
      <c r="B16" s="5" t="s">
        <v>1045</v>
      </c>
      <c r="C16" s="5" t="s">
        <v>1046</v>
      </c>
      <c r="D16" s="5" t="s">
        <v>1047</v>
      </c>
    </row>
    <row r="17" customFormat="false" ht="43.5" hidden="false" customHeight="true" outlineLevel="0" collapsed="false">
      <c r="A17" s="5" t="s">
        <v>1048</v>
      </c>
      <c r="B17" s="5" t="s">
        <v>1049</v>
      </c>
      <c r="C17" s="5" t="s">
        <v>1050</v>
      </c>
      <c r="D17" s="5" t="s">
        <v>1051</v>
      </c>
    </row>
    <row r="18" customFormat="false" ht="56.25" hidden="false" customHeight="true" outlineLevel="0" collapsed="false">
      <c r="A18" s="5" t="s">
        <v>1052</v>
      </c>
      <c r="B18" s="5" t="s">
        <v>1053</v>
      </c>
      <c r="C18" s="5" t="s">
        <v>1054</v>
      </c>
      <c r="D18" s="5" t="s">
        <v>1055</v>
      </c>
    </row>
    <row r="19" customFormat="false" ht="7.5" hidden="false" customHeight="true" outlineLevel="0" collapsed="false"/>
    <row r="20" customFormat="false" ht="30" hidden="false" customHeight="true" outlineLevel="0" collapsed="false">
      <c r="A20" s="35" t="s">
        <v>1056</v>
      </c>
      <c r="B20" s="35"/>
      <c r="C20" s="35"/>
      <c r="D20" s="35"/>
    </row>
    <row r="21" customFormat="false" ht="7.5" hidden="false" customHeight="true" outlineLevel="0" collapsed="false"/>
  </sheetData>
  <mergeCells count="3">
    <mergeCell ref="A1:D1"/>
    <mergeCell ref="A2:D2"/>
    <mergeCell ref="A20:D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D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38"/>
  </cols>
  <sheetData>
    <row r="1" customFormat="false" ht="30" hidden="false" customHeight="true" outlineLevel="0" collapsed="false">
      <c r="A1" s="36" t="s">
        <v>1057</v>
      </c>
      <c r="B1" s="36"/>
      <c r="C1" s="36"/>
      <c r="D1" s="36"/>
    </row>
    <row r="2" customFormat="false" ht="33" hidden="false" customHeight="true" outlineLevel="0" collapsed="false">
      <c r="A2" s="2" t="s">
        <v>1058</v>
      </c>
      <c r="B2" s="2"/>
      <c r="C2" s="2"/>
      <c r="D2" s="2"/>
    </row>
    <row r="3" customFormat="false" ht="7.5" hidden="false" customHeight="true" outlineLevel="0" collapsed="false"/>
    <row r="4" customFormat="false" ht="18" hidden="false" customHeight="true" outlineLevel="0" collapsed="false">
      <c r="A4" s="37" t="s">
        <v>1059</v>
      </c>
      <c r="B4" s="37"/>
      <c r="C4" s="37"/>
      <c r="D4" s="37"/>
    </row>
    <row r="5" customFormat="false" ht="16.5" hidden="false" customHeight="true" outlineLevel="0" collapsed="false">
      <c r="A5" s="4" t="s">
        <v>1060</v>
      </c>
      <c r="B5" s="4" t="s">
        <v>1061</v>
      </c>
      <c r="C5" s="4" t="s">
        <v>1062</v>
      </c>
      <c r="D5" s="4"/>
    </row>
    <row r="6" customFormat="false" ht="43.5" hidden="false" customHeight="true" outlineLevel="0" collapsed="false">
      <c r="A6" s="5" t="s">
        <v>1063</v>
      </c>
      <c r="B6" s="5" t="s">
        <v>1064</v>
      </c>
      <c r="C6" s="5" t="s">
        <v>1065</v>
      </c>
      <c r="D6" s="5"/>
    </row>
    <row r="7" customFormat="false" ht="16.5" hidden="false" customHeight="true" outlineLevel="0" collapsed="false">
      <c r="A7" s="5" t="s">
        <v>1066</v>
      </c>
      <c r="B7" s="5" t="s">
        <v>1067</v>
      </c>
      <c r="C7" s="5" t="s">
        <v>1068</v>
      </c>
      <c r="D7" s="5"/>
    </row>
    <row r="8" customFormat="false" ht="43.5" hidden="false" customHeight="true" outlineLevel="0" collapsed="false">
      <c r="A8" s="5" t="s">
        <v>1069</v>
      </c>
      <c r="B8" s="5" t="s">
        <v>1070</v>
      </c>
      <c r="C8" s="5" t="s">
        <v>1071</v>
      </c>
      <c r="D8" s="5"/>
    </row>
    <row r="9" customFormat="false" ht="30" hidden="false" customHeight="true" outlineLevel="0" collapsed="false">
      <c r="A9" s="5" t="s">
        <v>1072</v>
      </c>
      <c r="B9" s="5" t="s">
        <v>1073</v>
      </c>
      <c r="C9" s="5" t="s">
        <v>1074</v>
      </c>
      <c r="D9" s="5"/>
    </row>
    <row r="10" customFormat="false" ht="30" hidden="false" customHeight="true" outlineLevel="0" collapsed="false">
      <c r="A10" s="5" t="s">
        <v>1075</v>
      </c>
      <c r="B10" s="5" t="s">
        <v>1076</v>
      </c>
      <c r="C10" s="5" t="s">
        <v>1077</v>
      </c>
      <c r="D10" s="5"/>
    </row>
    <row r="11" customFormat="false" ht="30" hidden="false" customHeight="true" outlineLevel="0" collapsed="false">
      <c r="A11" s="5" t="s">
        <v>1078</v>
      </c>
      <c r="B11" s="5" t="s">
        <v>1079</v>
      </c>
      <c r="C11" s="5" t="s">
        <v>1080</v>
      </c>
      <c r="D11" s="5"/>
    </row>
    <row r="12" customFormat="false" ht="7.5" hidden="false" customHeight="true" outlineLevel="0" collapsed="false"/>
    <row r="13" customFormat="false" ht="18" hidden="false" customHeight="true" outlineLevel="0" collapsed="false">
      <c r="A13" s="37" t="s">
        <v>1081</v>
      </c>
      <c r="B13" s="37"/>
      <c r="C13" s="37"/>
      <c r="D13" s="37"/>
    </row>
    <row r="14" customFormat="false" ht="16.5" hidden="false" customHeight="true" outlineLevel="0" collapsed="false">
      <c r="A14" s="4" t="s">
        <v>1060</v>
      </c>
      <c r="B14" s="4" t="s">
        <v>1061</v>
      </c>
      <c r="C14" s="4" t="s">
        <v>1062</v>
      </c>
      <c r="D14" s="4"/>
    </row>
    <row r="15" customFormat="false" ht="69.75" hidden="false" customHeight="true" outlineLevel="0" collapsed="false">
      <c r="A15" s="5" t="s">
        <v>1082</v>
      </c>
      <c r="B15" s="5" t="s">
        <v>1083</v>
      </c>
      <c r="C15" s="5" t="s">
        <v>1084</v>
      </c>
      <c r="D15" s="5"/>
    </row>
    <row r="16" customFormat="false" ht="56.25" hidden="false" customHeight="true" outlineLevel="0" collapsed="false">
      <c r="A16" s="5" t="s">
        <v>1085</v>
      </c>
      <c r="B16" s="5" t="s">
        <v>1086</v>
      </c>
      <c r="C16" s="5" t="s">
        <v>1087</v>
      </c>
      <c r="D16" s="5"/>
    </row>
    <row r="17" customFormat="false" ht="43.5" hidden="false" customHeight="true" outlineLevel="0" collapsed="false">
      <c r="A17" s="5" t="s">
        <v>1088</v>
      </c>
      <c r="B17" s="5" t="s">
        <v>1089</v>
      </c>
      <c r="C17" s="5" t="s">
        <v>1090</v>
      </c>
      <c r="D17" s="5"/>
    </row>
    <row r="18" customFormat="false" ht="82.5" hidden="false" customHeight="true" outlineLevel="0" collapsed="false">
      <c r="A18" s="11" t="s">
        <v>1091</v>
      </c>
      <c r="B18" s="11" t="s">
        <v>1092</v>
      </c>
      <c r="C18" s="11" t="s">
        <v>1093</v>
      </c>
      <c r="D18" s="11"/>
    </row>
    <row r="19" customFormat="false" ht="7.5" hidden="false" customHeight="true" outlineLevel="0" collapsed="false"/>
    <row r="20" customFormat="false" ht="18" hidden="false" customHeight="true" outlineLevel="0" collapsed="false">
      <c r="A20" s="37" t="s">
        <v>1094</v>
      </c>
      <c r="B20" s="37"/>
      <c r="C20" s="37"/>
      <c r="D20" s="37"/>
    </row>
    <row r="21" customFormat="false" ht="16.5" hidden="false" customHeight="true" outlineLevel="0" collapsed="false">
      <c r="A21" s="4" t="s">
        <v>1060</v>
      </c>
      <c r="B21" s="4" t="s">
        <v>1095</v>
      </c>
      <c r="C21" s="4" t="s">
        <v>1062</v>
      </c>
      <c r="D21" s="4"/>
    </row>
    <row r="22" customFormat="false" ht="56.25" hidden="false" customHeight="true" outlineLevel="0" collapsed="false">
      <c r="A22" s="5" t="s">
        <v>1096</v>
      </c>
      <c r="B22" s="5" t="s">
        <v>1097</v>
      </c>
      <c r="C22" s="5" t="s">
        <v>1098</v>
      </c>
      <c r="D22" s="5"/>
    </row>
    <row r="23" customFormat="false" ht="82.5" hidden="false" customHeight="true" outlineLevel="0" collapsed="false">
      <c r="A23" s="5" t="s">
        <v>1099</v>
      </c>
      <c r="B23" s="5" t="s">
        <v>1100</v>
      </c>
      <c r="C23" s="5" t="s">
        <v>1101</v>
      </c>
      <c r="D23" s="5"/>
    </row>
    <row r="24" customFormat="false" ht="7.5" hidden="false" customHeight="true" outlineLevel="0" collapsed="false"/>
    <row r="25" customFormat="false" ht="18" hidden="false" customHeight="true" outlineLevel="0" collapsed="false">
      <c r="A25" s="37" t="s">
        <v>1102</v>
      </c>
      <c r="B25" s="37"/>
      <c r="C25" s="37"/>
      <c r="D25" s="37"/>
    </row>
    <row r="26" customFormat="false" ht="16.5" hidden="false" customHeight="true" outlineLevel="0" collapsed="false">
      <c r="A26" s="4" t="s">
        <v>1103</v>
      </c>
      <c r="B26" s="4" t="s">
        <v>1104</v>
      </c>
      <c r="C26" s="4" t="s">
        <v>1105</v>
      </c>
      <c r="D26" s="4"/>
    </row>
    <row r="27" customFormat="false" ht="30" hidden="false" customHeight="true" outlineLevel="0" collapsed="false">
      <c r="A27" s="5" t="s">
        <v>1106</v>
      </c>
      <c r="B27" s="5" t="s">
        <v>1107</v>
      </c>
      <c r="C27" s="5" t="s">
        <v>1108</v>
      </c>
      <c r="D27" s="5"/>
    </row>
    <row r="28" customFormat="false" ht="30" hidden="false" customHeight="true" outlineLevel="0" collapsed="false">
      <c r="A28" s="5" t="s">
        <v>1109</v>
      </c>
      <c r="B28" s="5" t="s">
        <v>1110</v>
      </c>
      <c r="C28" s="5" t="s">
        <v>1111</v>
      </c>
      <c r="D28" s="5"/>
    </row>
    <row r="29" customFormat="false" ht="16.5" hidden="false" customHeight="true" outlineLevel="0" collapsed="false">
      <c r="A29" s="5" t="s">
        <v>1112</v>
      </c>
      <c r="B29" s="5" t="s">
        <v>1113</v>
      </c>
      <c r="C29" s="5" t="s">
        <v>1114</v>
      </c>
      <c r="D29" s="5"/>
    </row>
    <row r="30" customFormat="false" ht="30" hidden="false" customHeight="true" outlineLevel="0" collapsed="false">
      <c r="A30" s="5" t="s">
        <v>1115</v>
      </c>
      <c r="B30" s="5" t="s">
        <v>1116</v>
      </c>
      <c r="C30" s="5" t="s">
        <v>1117</v>
      </c>
      <c r="D30" s="5"/>
    </row>
    <row r="31" customFormat="false" ht="30" hidden="false" customHeight="true" outlineLevel="0" collapsed="false">
      <c r="A31" s="5" t="s">
        <v>1118</v>
      </c>
      <c r="B31" s="5" t="s">
        <v>1119</v>
      </c>
      <c r="C31" s="5" t="s">
        <v>1120</v>
      </c>
      <c r="D31" s="5"/>
    </row>
    <row r="32" customFormat="false" ht="7.5" hidden="false" customHeight="true" outlineLevel="0" collapsed="false"/>
    <row r="33" customFormat="false" ht="18" hidden="false" customHeight="true" outlineLevel="0" collapsed="false">
      <c r="A33" s="37" t="s">
        <v>1121</v>
      </c>
      <c r="B33" s="37"/>
      <c r="C33" s="37"/>
      <c r="D33" s="37"/>
    </row>
    <row r="34" customFormat="false" ht="16.5" hidden="false" customHeight="true" outlineLevel="0" collapsed="false">
      <c r="A34" s="4" t="s">
        <v>1122</v>
      </c>
      <c r="B34" s="4" t="s">
        <v>1061</v>
      </c>
      <c r="C34" s="4" t="s">
        <v>1062</v>
      </c>
      <c r="D34" s="4"/>
    </row>
    <row r="35" customFormat="false" ht="30" hidden="false" customHeight="true" outlineLevel="0" collapsed="false">
      <c r="A35" s="11" t="s">
        <v>1123</v>
      </c>
      <c r="B35" s="11" t="s">
        <v>1124</v>
      </c>
      <c r="C35" s="11" t="s">
        <v>1125</v>
      </c>
      <c r="D35" s="11"/>
    </row>
    <row r="36" customFormat="false" ht="16.5" hidden="false" customHeight="true" outlineLevel="0" collapsed="false">
      <c r="A36" s="11" t="s">
        <v>1126</v>
      </c>
      <c r="B36" s="11" t="s">
        <v>1127</v>
      </c>
      <c r="C36" s="11" t="s">
        <v>1128</v>
      </c>
      <c r="D36" s="11"/>
    </row>
    <row r="37" customFormat="false" ht="30" hidden="false" customHeight="true" outlineLevel="0" collapsed="false">
      <c r="A37" s="11" t="s">
        <v>1129</v>
      </c>
      <c r="B37" s="11" t="s">
        <v>1130</v>
      </c>
      <c r="C37" s="11" t="s">
        <v>1131</v>
      </c>
      <c r="D37" s="11"/>
    </row>
    <row r="38" customFormat="false" ht="30" hidden="false" customHeight="true" outlineLevel="0" collapsed="false">
      <c r="A38" s="11" t="s">
        <v>1132</v>
      </c>
      <c r="B38" s="11" t="s">
        <v>1133</v>
      </c>
      <c r="C38" s="11" t="s">
        <v>1134</v>
      </c>
      <c r="D38" s="11"/>
    </row>
    <row r="39" customFormat="false" ht="30" hidden="false" customHeight="true" outlineLevel="0" collapsed="false">
      <c r="A39" s="11" t="s">
        <v>1135</v>
      </c>
      <c r="B39" s="11" t="s">
        <v>1136</v>
      </c>
      <c r="C39" s="11" t="s">
        <v>1137</v>
      </c>
      <c r="D39" s="11"/>
    </row>
    <row r="40" customFormat="false" ht="56.25" hidden="false" customHeight="true" outlineLevel="0" collapsed="false">
      <c r="A40" s="11" t="s">
        <v>1138</v>
      </c>
      <c r="B40" s="11" t="s">
        <v>1139</v>
      </c>
      <c r="C40" s="11" t="s">
        <v>1140</v>
      </c>
      <c r="D40" s="11"/>
    </row>
    <row r="41" customFormat="false" ht="30" hidden="false" customHeight="true" outlineLevel="0" collapsed="false">
      <c r="A41" s="11" t="s">
        <v>1141</v>
      </c>
      <c r="B41" s="11" t="s">
        <v>1142</v>
      </c>
      <c r="C41" s="11" t="s">
        <v>1143</v>
      </c>
      <c r="D41" s="11"/>
    </row>
    <row r="42" customFormat="false" ht="7.5" hidden="false" customHeight="true" outlineLevel="0" collapsed="false"/>
    <row r="43" customFormat="false" ht="18" hidden="false" customHeight="true" outlineLevel="0" collapsed="false">
      <c r="A43" s="37" t="s">
        <v>1144</v>
      </c>
      <c r="B43" s="37"/>
      <c r="C43" s="37"/>
      <c r="D43" s="37"/>
    </row>
    <row r="44" customFormat="false" ht="16.5" hidden="false" customHeight="true" outlineLevel="0" collapsed="false">
      <c r="A44" s="4" t="s">
        <v>1145</v>
      </c>
      <c r="B44" s="4" t="s">
        <v>1061</v>
      </c>
      <c r="C44" s="4" t="s">
        <v>1062</v>
      </c>
      <c r="D44" s="4"/>
    </row>
    <row r="45" customFormat="false" ht="30" hidden="false" customHeight="true" outlineLevel="0" collapsed="false">
      <c r="A45" s="5" t="s">
        <v>1146</v>
      </c>
      <c r="B45" s="5" t="s">
        <v>1147</v>
      </c>
      <c r="C45" s="5" t="s">
        <v>1148</v>
      </c>
      <c r="D45" s="5"/>
    </row>
    <row r="46" customFormat="false" ht="30" hidden="false" customHeight="true" outlineLevel="0" collapsed="false">
      <c r="A46" s="5" t="s">
        <v>1149</v>
      </c>
      <c r="B46" s="5" t="s">
        <v>1150</v>
      </c>
      <c r="C46" s="5" t="s">
        <v>1151</v>
      </c>
      <c r="D46" s="5"/>
    </row>
    <row r="47" customFormat="false" ht="43.5" hidden="false" customHeight="true" outlineLevel="0" collapsed="false">
      <c r="A47" s="5" t="s">
        <v>1152</v>
      </c>
      <c r="B47" s="5" t="s">
        <v>1153</v>
      </c>
      <c r="C47" s="5" t="s">
        <v>1154</v>
      </c>
      <c r="D47" s="5"/>
    </row>
    <row r="48" customFormat="false" ht="30" hidden="false" customHeight="true" outlineLevel="0" collapsed="false">
      <c r="A48" s="5" t="s">
        <v>1155</v>
      </c>
      <c r="B48" s="5" t="s">
        <v>1156</v>
      </c>
      <c r="C48" s="5" t="s">
        <v>1157</v>
      </c>
      <c r="D48" s="5"/>
    </row>
    <row r="49" customFormat="false" ht="30" hidden="false" customHeight="true" outlineLevel="0" collapsed="false">
      <c r="A49" s="5" t="s">
        <v>1158</v>
      </c>
      <c r="B49" s="5" t="s">
        <v>1159</v>
      </c>
      <c r="C49" s="5" t="s">
        <v>1160</v>
      </c>
      <c r="D49" s="5"/>
    </row>
    <row r="50" customFormat="false" ht="7.5" hidden="false" customHeight="true" outlineLevel="0" collapsed="false"/>
    <row r="51" customFormat="false" ht="16.5" hidden="false" customHeight="true" outlineLevel="0" collapsed="false">
      <c r="A51" s="10" t="s">
        <v>1161</v>
      </c>
      <c r="B51" s="10"/>
      <c r="C51" s="10"/>
      <c r="D51" s="10"/>
    </row>
    <row r="52" customFormat="false" ht="7.5" hidden="false" customHeight="true" outlineLevel="0" collapsed="false"/>
    <row r="53" customFormat="false" ht="16.5" hidden="false" customHeight="true" outlineLevel="0" collapsed="false">
      <c r="A53" s="4" t="s">
        <v>1162</v>
      </c>
      <c r="B53" s="4" t="s">
        <v>1163</v>
      </c>
      <c r="C53" s="4" t="s">
        <v>1164</v>
      </c>
      <c r="D53" s="4"/>
    </row>
    <row r="54" customFormat="false" ht="16.5" hidden="false" customHeight="true" outlineLevel="0" collapsed="false">
      <c r="A54" s="5" t="s">
        <v>1165</v>
      </c>
      <c r="B54" s="5" t="s">
        <v>1166</v>
      </c>
      <c r="C54" s="5"/>
      <c r="D54" s="5"/>
    </row>
    <row r="55" customFormat="false" ht="16.5" hidden="false" customHeight="true" outlineLevel="0" collapsed="false">
      <c r="A55" s="5" t="s">
        <v>1167</v>
      </c>
      <c r="B55" s="5" t="s">
        <v>1168</v>
      </c>
      <c r="C55" s="5"/>
      <c r="D55" s="5"/>
    </row>
    <row r="56" customFormat="false" ht="16.5" hidden="false" customHeight="true" outlineLevel="0" collapsed="false">
      <c r="A56" s="5" t="s">
        <v>1169</v>
      </c>
      <c r="B56" s="5" t="s">
        <v>1168</v>
      </c>
      <c r="C56" s="5"/>
      <c r="D56" s="5"/>
    </row>
    <row r="57" customFormat="false" ht="16.5" hidden="false" customHeight="true" outlineLevel="0" collapsed="false">
      <c r="A57" s="5" t="s">
        <v>1170</v>
      </c>
      <c r="B57" s="5" t="s">
        <v>1171</v>
      </c>
      <c r="C57" s="5" t="s">
        <v>1172</v>
      </c>
      <c r="D57" s="5"/>
    </row>
    <row r="58" customFormat="false" ht="16.5" hidden="false" customHeight="true" outlineLevel="0" collapsed="false">
      <c r="A58" s="5" t="s">
        <v>137</v>
      </c>
      <c r="B58" s="5" t="s">
        <v>1173</v>
      </c>
      <c r="C58" s="5" t="s">
        <v>1174</v>
      </c>
      <c r="D58" s="5"/>
    </row>
    <row r="59" customFormat="false" ht="16.5" hidden="false" customHeight="true" outlineLevel="0" collapsed="false">
      <c r="A59" s="5" t="s">
        <v>1175</v>
      </c>
      <c r="B59" s="5" t="s">
        <v>1176</v>
      </c>
      <c r="C59" s="5"/>
      <c r="D59" s="5"/>
    </row>
    <row r="60" customFormat="false" ht="16.5" hidden="false" customHeight="true" outlineLevel="0" collapsed="false">
      <c r="A60" s="5" t="s">
        <v>1177</v>
      </c>
      <c r="B60" s="5" t="s">
        <v>1178</v>
      </c>
      <c r="C60" s="5" t="s">
        <v>1179</v>
      </c>
      <c r="D60" s="5"/>
    </row>
    <row r="61" customFormat="false" ht="16.5" hidden="false" customHeight="true" outlineLevel="0" collapsed="false">
      <c r="A61" s="5" t="s">
        <v>1180</v>
      </c>
      <c r="B61" s="5" t="s">
        <v>1181</v>
      </c>
      <c r="C61" s="5" t="s">
        <v>1179</v>
      </c>
      <c r="D61" s="5"/>
    </row>
    <row r="62" customFormat="false" ht="7.5" hidden="false" customHeight="true" outlineLevel="0" collapsed="false"/>
    <row r="63" customFormat="false" ht="18" hidden="false" customHeight="true" outlineLevel="0" collapsed="false">
      <c r="A63" s="37" t="s">
        <v>1182</v>
      </c>
      <c r="B63" s="37"/>
      <c r="C63" s="37"/>
      <c r="D63" s="37"/>
    </row>
    <row r="64" customFormat="false" ht="16.5" hidden="false" customHeight="true" outlineLevel="0" collapsed="false">
      <c r="A64" s="4" t="s">
        <v>1183</v>
      </c>
      <c r="B64" s="4" t="s">
        <v>1184</v>
      </c>
      <c r="C64" s="4" t="s">
        <v>1062</v>
      </c>
      <c r="D64" s="4"/>
    </row>
    <row r="65" customFormat="false" ht="43.5" hidden="false" customHeight="true" outlineLevel="0" collapsed="false">
      <c r="A65" s="5" t="s">
        <v>1185</v>
      </c>
      <c r="B65" s="5" t="s">
        <v>1186</v>
      </c>
      <c r="C65" s="5" t="s">
        <v>1187</v>
      </c>
      <c r="D65" s="5"/>
    </row>
    <row r="66" customFormat="false" ht="56.25" hidden="false" customHeight="true" outlineLevel="0" collapsed="false">
      <c r="A66" s="5" t="s">
        <v>1188</v>
      </c>
      <c r="B66" s="5" t="s">
        <v>1189</v>
      </c>
      <c r="C66" s="5" t="s">
        <v>1190</v>
      </c>
      <c r="D66" s="5"/>
    </row>
    <row r="67" customFormat="false" ht="96" hidden="false" customHeight="true" outlineLevel="0" collapsed="false">
      <c r="A67" s="5" t="s">
        <v>1191</v>
      </c>
      <c r="B67" s="5" t="s">
        <v>1192</v>
      </c>
      <c r="C67" s="5" t="s">
        <v>1193</v>
      </c>
      <c r="D67" s="5"/>
    </row>
    <row r="68" customFormat="false" ht="162" hidden="false" customHeight="true" outlineLevel="0" collapsed="false">
      <c r="A68" s="5" t="s">
        <v>1194</v>
      </c>
      <c r="B68" s="5" t="s">
        <v>1195</v>
      </c>
      <c r="C68" s="5" t="s">
        <v>1196</v>
      </c>
      <c r="D68" s="5"/>
    </row>
    <row r="69" customFormat="false" ht="30" hidden="false" customHeight="true" outlineLevel="0" collapsed="false">
      <c r="A69" s="5" t="s">
        <v>1197</v>
      </c>
      <c r="B69" s="5" t="s">
        <v>1198</v>
      </c>
      <c r="C69" s="5" t="s">
        <v>1199</v>
      </c>
      <c r="D69" s="5"/>
    </row>
    <row r="70" customFormat="false" ht="7.5" hidden="false" customHeight="true" outlineLevel="0" collapsed="false"/>
    <row r="71" customFormat="false" ht="30" hidden="false" customHeight="true" outlineLevel="0" collapsed="false">
      <c r="A71" s="35" t="s">
        <v>1200</v>
      </c>
      <c r="B71" s="35"/>
      <c r="C71" s="35"/>
      <c r="D71" s="35"/>
    </row>
    <row r="72" customFormat="false" ht="7.5" hidden="false" customHeight="true" outlineLevel="0" collapsed="false"/>
    <row r="73" customFormat="false" ht="18" hidden="false" customHeight="true" outlineLevel="0" collapsed="false">
      <c r="A73" s="37" t="s">
        <v>1201</v>
      </c>
      <c r="B73" s="37"/>
      <c r="C73" s="37"/>
      <c r="D73" s="37"/>
    </row>
    <row r="74" customFormat="false" ht="16.5" hidden="false" customHeight="true" outlineLevel="0" collapsed="false">
      <c r="A74" s="4" t="s">
        <v>1202</v>
      </c>
      <c r="B74" s="4" t="s">
        <v>1061</v>
      </c>
      <c r="C74" s="4" t="s">
        <v>1203</v>
      </c>
      <c r="D74" s="4"/>
    </row>
    <row r="75" customFormat="false" ht="30" hidden="false" customHeight="true" outlineLevel="0" collapsed="false">
      <c r="A75" s="5" t="s">
        <v>1204</v>
      </c>
      <c r="B75" s="5" t="s">
        <v>1205</v>
      </c>
      <c r="C75" s="5" t="s">
        <v>1206</v>
      </c>
      <c r="D75" s="5"/>
    </row>
    <row r="76" customFormat="false" ht="16.5" hidden="false" customHeight="true" outlineLevel="0" collapsed="false">
      <c r="A76" s="5" t="s">
        <v>1207</v>
      </c>
      <c r="B76" s="5" t="s">
        <v>1208</v>
      </c>
      <c r="C76" s="5" t="s">
        <v>1209</v>
      </c>
      <c r="D76" s="5"/>
    </row>
    <row r="77" customFormat="false" ht="30" hidden="false" customHeight="true" outlineLevel="0" collapsed="false">
      <c r="A77" s="5" t="s">
        <v>1210</v>
      </c>
      <c r="B77" s="5" t="s">
        <v>1211</v>
      </c>
      <c r="C77" s="5" t="s">
        <v>1209</v>
      </c>
      <c r="D77" s="5"/>
    </row>
    <row r="78" customFormat="false" ht="43.5" hidden="false" customHeight="true" outlineLevel="0" collapsed="false">
      <c r="A78" s="5" t="s">
        <v>1212</v>
      </c>
      <c r="B78" s="5" t="s">
        <v>1213</v>
      </c>
      <c r="C78" s="5" t="s">
        <v>1209</v>
      </c>
      <c r="D78" s="5"/>
    </row>
    <row r="79" customFormat="false" ht="30" hidden="false" customHeight="true" outlineLevel="0" collapsed="false">
      <c r="A79" s="5" t="s">
        <v>1214</v>
      </c>
      <c r="B79" s="5" t="s">
        <v>1215</v>
      </c>
      <c r="C79" s="5" t="s">
        <v>1209</v>
      </c>
      <c r="D79" s="5"/>
    </row>
    <row r="80" customFormat="false" ht="16.5" hidden="false" customHeight="true" outlineLevel="0" collapsed="false">
      <c r="A80" s="5" t="s">
        <v>1216</v>
      </c>
      <c r="B80" s="5" t="s">
        <v>1217</v>
      </c>
      <c r="C80" s="5" t="s">
        <v>1209</v>
      </c>
      <c r="D80" s="5"/>
    </row>
    <row r="81" customFormat="false" ht="56.25" hidden="false" customHeight="true" outlineLevel="0" collapsed="false">
      <c r="A81" s="11" t="s">
        <v>1218</v>
      </c>
      <c r="B81" s="11" t="s">
        <v>1219</v>
      </c>
      <c r="C81" s="11" t="s">
        <v>1220</v>
      </c>
      <c r="D81" s="11"/>
    </row>
    <row r="82" customFormat="false" ht="7.5" hidden="false" customHeight="true" outlineLevel="0" collapsed="false"/>
    <row r="83" customFormat="false" ht="30" hidden="false" customHeight="true" outlineLevel="0" collapsed="false">
      <c r="A83" s="10" t="s">
        <v>1221</v>
      </c>
      <c r="B83" s="10"/>
      <c r="C83" s="10"/>
      <c r="D83" s="10"/>
    </row>
    <row r="84" customFormat="false" ht="7.5" hidden="false" customHeight="true" outlineLevel="0" collapsed="false"/>
    <row r="85" customFormat="false" ht="18" hidden="false" customHeight="true" outlineLevel="0" collapsed="false">
      <c r="A85" s="37" t="s">
        <v>1222</v>
      </c>
      <c r="B85" s="37"/>
      <c r="C85" s="37"/>
      <c r="D85" s="37"/>
    </row>
    <row r="86" customFormat="false" ht="16.5" hidden="false" customHeight="true" outlineLevel="0" collapsed="false">
      <c r="A86" s="4" t="s">
        <v>1223</v>
      </c>
      <c r="B86" s="4" t="s">
        <v>1224</v>
      </c>
      <c r="C86" s="4" t="s">
        <v>1062</v>
      </c>
      <c r="D86" s="4"/>
    </row>
    <row r="87" customFormat="false" ht="16.5" hidden="false" customHeight="true" outlineLevel="0" collapsed="false">
      <c r="A87" s="5" t="s">
        <v>1225</v>
      </c>
      <c r="B87" s="5" t="s">
        <v>1226</v>
      </c>
      <c r="C87" s="5" t="s">
        <v>1227</v>
      </c>
      <c r="D87" s="5"/>
    </row>
    <row r="88" customFormat="false" ht="30" hidden="false" customHeight="true" outlineLevel="0" collapsed="false">
      <c r="A88" s="5" t="s">
        <v>1228</v>
      </c>
      <c r="B88" s="5" t="s">
        <v>1229</v>
      </c>
      <c r="C88" s="5" t="s">
        <v>1230</v>
      </c>
      <c r="D88" s="5"/>
    </row>
    <row r="89" customFormat="false" ht="16.5" hidden="false" customHeight="true" outlineLevel="0" collapsed="false">
      <c r="A89" s="5" t="s">
        <v>1231</v>
      </c>
      <c r="B89" s="5" t="s">
        <v>1232</v>
      </c>
      <c r="C89" s="5"/>
      <c r="D89" s="5"/>
    </row>
    <row r="90" customFormat="false" ht="16.5" hidden="false" customHeight="true" outlineLevel="0" collapsed="false">
      <c r="A90" s="5" t="s">
        <v>1233</v>
      </c>
      <c r="B90" s="5" t="s">
        <v>1234</v>
      </c>
      <c r="C90" s="5"/>
      <c r="D90" s="5"/>
    </row>
    <row r="91" customFormat="false" ht="16.5" hidden="false" customHeight="true" outlineLevel="0" collapsed="false">
      <c r="A91" s="5" t="s">
        <v>1235</v>
      </c>
      <c r="B91" s="5"/>
      <c r="C91" s="5"/>
      <c r="D91" s="5"/>
    </row>
    <row r="92" customFormat="false" ht="43.5" hidden="false" customHeight="true" outlineLevel="0" collapsed="false">
      <c r="A92" s="5" t="s">
        <v>1236</v>
      </c>
      <c r="B92" s="5" t="s">
        <v>1237</v>
      </c>
      <c r="C92" s="5" t="s">
        <v>1238</v>
      </c>
      <c r="D92" s="5"/>
    </row>
    <row r="93" customFormat="false" ht="16.5" hidden="false" customHeight="true" outlineLevel="0" collapsed="false">
      <c r="A93" s="5" t="s">
        <v>1239</v>
      </c>
      <c r="B93" s="5" t="s">
        <v>1240</v>
      </c>
      <c r="C93" s="5"/>
      <c r="D93" s="5"/>
    </row>
    <row r="94" customFormat="false" ht="7.5" hidden="false" customHeight="true" outlineLevel="0" collapsed="false"/>
    <row r="95" customFormat="false" ht="30" hidden="false" customHeight="true" outlineLevel="0" collapsed="false">
      <c r="A95" s="6" t="s">
        <v>1241</v>
      </c>
      <c r="B95" s="6"/>
      <c r="C95" s="6"/>
      <c r="D95" s="6"/>
    </row>
    <row r="96" customFormat="false" ht="7.5" hidden="false" customHeight="true" outlineLevel="0" collapsed="false"/>
    <row r="97" customFormat="false" ht="16.5" hidden="false" customHeight="true" outlineLevel="0" collapsed="false">
      <c r="A97" s="7" t="s">
        <v>86</v>
      </c>
      <c r="B97" s="7"/>
      <c r="C97" s="7"/>
      <c r="D97" s="7"/>
    </row>
    <row r="98" customFormat="false" ht="16.5" hidden="false" customHeight="true" outlineLevel="0" collapsed="false">
      <c r="A98" s="8" t="s">
        <v>1242</v>
      </c>
      <c r="B98" s="8"/>
      <c r="C98" s="8"/>
      <c r="D98" s="8"/>
    </row>
    <row r="99" customFormat="false" ht="16.5" hidden="false" customHeight="true" outlineLevel="0" collapsed="false">
      <c r="A99" s="8" t="s">
        <v>1243</v>
      </c>
      <c r="B99" s="8"/>
      <c r="C99" s="8"/>
      <c r="D99" s="8"/>
    </row>
    <row r="100" customFormat="false" ht="16.5" hidden="false" customHeight="true" outlineLevel="0" collapsed="false">
      <c r="A100" s="8" t="s">
        <v>1244</v>
      </c>
      <c r="B100" s="8"/>
      <c r="C100" s="8"/>
      <c r="D100" s="8"/>
    </row>
    <row r="101" customFormat="false" ht="16.5" hidden="false" customHeight="true" outlineLevel="0" collapsed="false">
      <c r="A101" s="8" t="s">
        <v>1245</v>
      </c>
      <c r="B101" s="8"/>
      <c r="C101" s="8"/>
      <c r="D101" s="8"/>
    </row>
    <row r="102" customFormat="false" ht="16.5" hidden="false" customHeight="true" outlineLevel="0" collapsed="false">
      <c r="A102" s="8" t="s">
        <v>1246</v>
      </c>
      <c r="B102" s="8"/>
      <c r="C102" s="8"/>
      <c r="D102" s="8"/>
    </row>
    <row r="103" customFormat="false" ht="7.5" hidden="false" customHeight="true" outlineLevel="0" collapsed="false"/>
  </sheetData>
  <mergeCells count="87">
    <mergeCell ref="A1:D1"/>
    <mergeCell ref="A2:D2"/>
    <mergeCell ref="A4:D4"/>
    <mergeCell ref="C5:D5"/>
    <mergeCell ref="C6:D6"/>
    <mergeCell ref="C7:D7"/>
    <mergeCell ref="C8:D8"/>
    <mergeCell ref="C9:D9"/>
    <mergeCell ref="C10:D10"/>
    <mergeCell ref="C11:D11"/>
    <mergeCell ref="A13:D13"/>
    <mergeCell ref="C14:D14"/>
    <mergeCell ref="C15:D15"/>
    <mergeCell ref="C16:D16"/>
    <mergeCell ref="C17:D17"/>
    <mergeCell ref="C18:D18"/>
    <mergeCell ref="A20:D20"/>
    <mergeCell ref="C21:D21"/>
    <mergeCell ref="C22:D22"/>
    <mergeCell ref="C23:D23"/>
    <mergeCell ref="A25:D25"/>
    <mergeCell ref="C26:D26"/>
    <mergeCell ref="C27:D27"/>
    <mergeCell ref="C28:D28"/>
    <mergeCell ref="C29:D29"/>
    <mergeCell ref="C30:D30"/>
    <mergeCell ref="C31:D31"/>
    <mergeCell ref="A33:D33"/>
    <mergeCell ref="C34:D34"/>
    <mergeCell ref="C35:D35"/>
    <mergeCell ref="C36:D36"/>
    <mergeCell ref="C37:D37"/>
    <mergeCell ref="C38:D38"/>
    <mergeCell ref="C39:D39"/>
    <mergeCell ref="C40:D40"/>
    <mergeCell ref="C41:D41"/>
    <mergeCell ref="A43:D43"/>
    <mergeCell ref="C44:D44"/>
    <mergeCell ref="C45:D45"/>
    <mergeCell ref="C46:D46"/>
    <mergeCell ref="C47:D47"/>
    <mergeCell ref="C48:D48"/>
    <mergeCell ref="C49:D49"/>
    <mergeCell ref="A51:D51"/>
    <mergeCell ref="C53:D53"/>
    <mergeCell ref="C54:D54"/>
    <mergeCell ref="C55:D55"/>
    <mergeCell ref="C56:D56"/>
    <mergeCell ref="C57:D57"/>
    <mergeCell ref="C58:D58"/>
    <mergeCell ref="C59:D59"/>
    <mergeCell ref="C60:D60"/>
    <mergeCell ref="C61:D61"/>
    <mergeCell ref="A63:D63"/>
    <mergeCell ref="C64:D64"/>
    <mergeCell ref="C65:D65"/>
    <mergeCell ref="C66:D66"/>
    <mergeCell ref="C67:D67"/>
    <mergeCell ref="C68:D68"/>
    <mergeCell ref="C69:D69"/>
    <mergeCell ref="A71:D71"/>
    <mergeCell ref="A73:D73"/>
    <mergeCell ref="C74:D74"/>
    <mergeCell ref="C75:D75"/>
    <mergeCell ref="C76:D76"/>
    <mergeCell ref="C77:D77"/>
    <mergeCell ref="C78:D78"/>
    <mergeCell ref="C79:D79"/>
    <mergeCell ref="C80:D80"/>
    <mergeCell ref="C81:D81"/>
    <mergeCell ref="A83:D83"/>
    <mergeCell ref="A85:D85"/>
    <mergeCell ref="C86:D86"/>
    <mergeCell ref="C87:D87"/>
    <mergeCell ref="C88:D88"/>
    <mergeCell ref="C89:D89"/>
    <mergeCell ref="C90:D90"/>
    <mergeCell ref="C91:D91"/>
    <mergeCell ref="C92:D92"/>
    <mergeCell ref="C93:D93"/>
    <mergeCell ref="A95:D95"/>
    <mergeCell ref="A97:D97"/>
    <mergeCell ref="A98:D98"/>
    <mergeCell ref="A99:D99"/>
    <mergeCell ref="A100:D100"/>
    <mergeCell ref="A101:D101"/>
    <mergeCell ref="A102:D10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D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38"/>
  </cols>
  <sheetData>
    <row r="1" customFormat="false" ht="30" hidden="false" customHeight="true" outlineLevel="0" collapsed="false">
      <c r="A1" s="36" t="s">
        <v>1247</v>
      </c>
      <c r="B1" s="36"/>
      <c r="C1" s="36"/>
      <c r="D1" s="36"/>
    </row>
    <row r="2" customFormat="false" ht="33" hidden="false" customHeight="true" outlineLevel="0" collapsed="false">
      <c r="A2" s="2" t="s">
        <v>1248</v>
      </c>
      <c r="B2" s="2"/>
      <c r="C2" s="2"/>
      <c r="D2" s="2"/>
    </row>
    <row r="3" customFormat="false" ht="7.5" hidden="false" customHeight="true" outlineLevel="0" collapsed="false"/>
    <row r="4" customFormat="false" ht="18" hidden="false" customHeight="true" outlineLevel="0" collapsed="false">
      <c r="A4" s="37" t="s">
        <v>1249</v>
      </c>
      <c r="B4" s="37"/>
      <c r="C4" s="37"/>
      <c r="D4" s="37"/>
    </row>
    <row r="5" customFormat="false" ht="16.5" hidden="false" customHeight="true" outlineLevel="0" collapsed="false">
      <c r="A5" s="4" t="s">
        <v>1250</v>
      </c>
      <c r="B5" s="4" t="s">
        <v>1251</v>
      </c>
      <c r="C5" s="4" t="s">
        <v>1252</v>
      </c>
      <c r="D5" s="4"/>
    </row>
    <row r="6" customFormat="false" ht="16.5" hidden="false" customHeight="true" outlineLevel="0" collapsed="false">
      <c r="A6" s="5" t="s">
        <v>1253</v>
      </c>
      <c r="B6" s="5" t="s">
        <v>1254</v>
      </c>
      <c r="C6" s="5" t="s">
        <v>1255</v>
      </c>
      <c r="D6" s="5"/>
    </row>
    <row r="7" customFormat="false" ht="162" hidden="false" customHeight="true" outlineLevel="0" collapsed="false">
      <c r="A7" s="5" t="s">
        <v>1256</v>
      </c>
      <c r="B7" s="5" t="s">
        <v>1257</v>
      </c>
      <c r="C7" s="5" t="s">
        <v>1258</v>
      </c>
      <c r="D7" s="5"/>
    </row>
    <row r="8" customFormat="false" ht="109.5" hidden="false" customHeight="true" outlineLevel="0" collapsed="false">
      <c r="A8" s="5" t="s">
        <v>1259</v>
      </c>
      <c r="B8" s="5" t="s">
        <v>1260</v>
      </c>
      <c r="C8" s="5" t="s">
        <v>1258</v>
      </c>
      <c r="D8" s="5"/>
    </row>
    <row r="9" customFormat="false" ht="69.75" hidden="false" customHeight="true" outlineLevel="0" collapsed="false">
      <c r="A9" s="5" t="s">
        <v>1261</v>
      </c>
      <c r="B9" s="5" t="s">
        <v>1262</v>
      </c>
      <c r="C9" s="5" t="s">
        <v>1258</v>
      </c>
      <c r="D9" s="5"/>
    </row>
    <row r="10" customFormat="false" ht="43.5" hidden="false" customHeight="true" outlineLevel="0" collapsed="false">
      <c r="A10" s="5" t="s">
        <v>1263</v>
      </c>
      <c r="B10" s="5" t="s">
        <v>1264</v>
      </c>
      <c r="C10" s="5" t="s">
        <v>1265</v>
      </c>
      <c r="D10" s="5"/>
    </row>
    <row r="11" customFormat="false" ht="7.5" hidden="false" customHeight="true" outlineLevel="0" collapsed="false"/>
    <row r="12" customFormat="false" ht="30" hidden="false" customHeight="true" outlineLevel="0" collapsed="false">
      <c r="A12" s="10" t="s">
        <v>1266</v>
      </c>
      <c r="B12" s="10"/>
      <c r="C12" s="10"/>
      <c r="D12" s="10"/>
    </row>
    <row r="13" customFormat="false" ht="7.5" hidden="false" customHeight="true" outlineLevel="0" collapsed="false"/>
    <row r="14" customFormat="false" ht="30" hidden="false" customHeight="true" outlineLevel="0" collapsed="false">
      <c r="A14" s="35" t="s">
        <v>1267</v>
      </c>
      <c r="B14" s="35"/>
      <c r="C14" s="35"/>
      <c r="D14" s="35"/>
    </row>
    <row r="15" customFormat="false" ht="7.5" hidden="false" customHeight="true" outlineLevel="0" collapsed="false"/>
    <row r="16" customFormat="false" ht="18" hidden="false" customHeight="true" outlineLevel="0" collapsed="false">
      <c r="A16" s="37" t="s">
        <v>1268</v>
      </c>
      <c r="B16" s="37"/>
      <c r="C16" s="37"/>
      <c r="D16" s="37"/>
    </row>
    <row r="17" customFormat="false" ht="16.5" hidden="false" customHeight="true" outlineLevel="0" collapsed="false">
      <c r="A17" s="4" t="s">
        <v>1269</v>
      </c>
      <c r="B17" s="4" t="s">
        <v>1270</v>
      </c>
      <c r="C17" s="4" t="s">
        <v>96</v>
      </c>
      <c r="D17" s="4"/>
    </row>
    <row r="18" customFormat="false" ht="16.5" hidden="false" customHeight="true" outlineLevel="0" collapsed="false">
      <c r="A18" s="5" t="s">
        <v>1271</v>
      </c>
      <c r="B18" s="5" t="s">
        <v>1272</v>
      </c>
      <c r="C18" s="9" t="s">
        <v>100</v>
      </c>
      <c r="D18" s="9"/>
    </row>
    <row r="19" customFormat="false" ht="16.5" hidden="false" customHeight="true" outlineLevel="0" collapsed="false">
      <c r="A19" s="5" t="s">
        <v>1272</v>
      </c>
      <c r="B19" s="5" t="s">
        <v>1273</v>
      </c>
      <c r="C19" s="9" t="s">
        <v>104</v>
      </c>
      <c r="D19" s="9"/>
    </row>
    <row r="20" customFormat="false" ht="16.5" hidden="false" customHeight="true" outlineLevel="0" collapsed="false">
      <c r="A20" s="5" t="s">
        <v>1273</v>
      </c>
      <c r="B20" s="5" t="s">
        <v>1274</v>
      </c>
      <c r="C20" s="9" t="s">
        <v>1275</v>
      </c>
      <c r="D20" s="9"/>
    </row>
    <row r="21" customFormat="false" ht="16.5" hidden="false" customHeight="true" outlineLevel="0" collapsed="false">
      <c r="A21" s="5" t="s">
        <v>1274</v>
      </c>
      <c r="B21" s="5" t="s">
        <v>1276</v>
      </c>
      <c r="C21" s="9" t="s">
        <v>1277</v>
      </c>
      <c r="D21" s="9"/>
    </row>
    <row r="22" customFormat="false" ht="16.5" hidden="false" customHeight="true" outlineLevel="0" collapsed="false">
      <c r="A22" s="5" t="s">
        <v>1276</v>
      </c>
      <c r="B22" s="5" t="s">
        <v>1278</v>
      </c>
      <c r="C22" s="9" t="s">
        <v>1279</v>
      </c>
      <c r="D22" s="9"/>
    </row>
    <row r="23" customFormat="false" ht="16.5" hidden="false" customHeight="true" outlineLevel="0" collapsed="false">
      <c r="A23" s="5" t="s">
        <v>1278</v>
      </c>
      <c r="B23" s="5" t="s">
        <v>1280</v>
      </c>
      <c r="C23" s="9" t="s">
        <v>1281</v>
      </c>
      <c r="D23" s="9"/>
    </row>
    <row r="24" customFormat="false" ht="7.5" hidden="false" customHeight="true" outlineLevel="0" collapsed="false"/>
    <row r="25" customFormat="false" ht="43.5" hidden="false" customHeight="true" outlineLevel="0" collapsed="false">
      <c r="A25" s="6" t="s">
        <v>1282</v>
      </c>
      <c r="B25" s="6"/>
      <c r="C25" s="6"/>
      <c r="D25" s="6"/>
    </row>
    <row r="26" customFormat="false" ht="7.5" hidden="false" customHeight="true" outlineLevel="0" collapsed="false"/>
    <row r="27" customFormat="false" ht="18" hidden="false" customHeight="true" outlineLevel="0" collapsed="false">
      <c r="A27" s="37" t="s">
        <v>1283</v>
      </c>
      <c r="B27" s="37"/>
      <c r="C27" s="37"/>
      <c r="D27" s="37"/>
    </row>
    <row r="28" customFormat="false" ht="16.5" hidden="false" customHeight="true" outlineLevel="0" collapsed="false">
      <c r="A28" s="4" t="s">
        <v>137</v>
      </c>
      <c r="B28" s="4" t="s">
        <v>1284</v>
      </c>
      <c r="C28" s="4" t="s">
        <v>1285</v>
      </c>
      <c r="D28" s="4" t="s">
        <v>139</v>
      </c>
    </row>
    <row r="29" customFormat="false" ht="43.5" hidden="false" customHeight="true" outlineLevel="0" collapsed="false">
      <c r="A29" s="5" t="s">
        <v>1286</v>
      </c>
      <c r="B29" s="9" t="s">
        <v>211</v>
      </c>
      <c r="C29" s="5" t="s">
        <v>211</v>
      </c>
      <c r="D29" s="5" t="s">
        <v>142</v>
      </c>
    </row>
    <row r="30" customFormat="false" ht="30" hidden="false" customHeight="true" outlineLevel="0" collapsed="false">
      <c r="A30" s="5" t="s">
        <v>1287</v>
      </c>
      <c r="B30" s="9" t="s">
        <v>1288</v>
      </c>
      <c r="C30" s="5" t="s">
        <v>247</v>
      </c>
      <c r="D30" s="5" t="s">
        <v>247</v>
      </c>
    </row>
    <row r="31" customFormat="false" ht="30" hidden="false" customHeight="true" outlineLevel="0" collapsed="false">
      <c r="A31" s="5" t="s">
        <v>144</v>
      </c>
      <c r="B31" s="9" t="s">
        <v>221</v>
      </c>
      <c r="C31" s="5" t="s">
        <v>221</v>
      </c>
      <c r="D31" s="5" t="s">
        <v>142</v>
      </c>
    </row>
    <row r="32" customFormat="false" ht="16.5" hidden="false" customHeight="true" outlineLevel="0" collapsed="false">
      <c r="A32" s="5" t="s">
        <v>1289</v>
      </c>
      <c r="B32" s="9" t="s">
        <v>211</v>
      </c>
      <c r="C32" s="5" t="s">
        <v>211</v>
      </c>
      <c r="D32" s="5" t="s">
        <v>142</v>
      </c>
    </row>
    <row r="33" customFormat="false" ht="16.5" hidden="false" customHeight="true" outlineLevel="0" collapsed="false">
      <c r="A33" s="5" t="s">
        <v>148</v>
      </c>
      <c r="B33" s="9" t="s">
        <v>1290</v>
      </c>
      <c r="C33" s="5" t="s">
        <v>1291</v>
      </c>
      <c r="D33" s="5" t="s">
        <v>142</v>
      </c>
    </row>
    <row r="34" customFormat="false" ht="16.5" hidden="false" customHeight="true" outlineLevel="0" collapsed="false">
      <c r="A34" s="5" t="s">
        <v>151</v>
      </c>
      <c r="B34" s="9" t="s">
        <v>211</v>
      </c>
      <c r="C34" s="5" t="s">
        <v>211</v>
      </c>
      <c r="D34" s="5" t="s">
        <v>142</v>
      </c>
    </row>
    <row r="35" customFormat="false" ht="30" hidden="false" customHeight="true" outlineLevel="0" collapsed="false">
      <c r="A35" s="5" t="s">
        <v>153</v>
      </c>
      <c r="B35" s="9" t="s">
        <v>247</v>
      </c>
      <c r="C35" s="5" t="s">
        <v>247</v>
      </c>
      <c r="D35" s="5" t="s">
        <v>142</v>
      </c>
    </row>
    <row r="36" customFormat="false" ht="30" hidden="false" customHeight="true" outlineLevel="0" collapsed="false">
      <c r="A36" s="5" t="s">
        <v>156</v>
      </c>
      <c r="B36" s="9" t="s">
        <v>211</v>
      </c>
      <c r="C36" s="5" t="s">
        <v>211</v>
      </c>
      <c r="D36" s="5" t="s">
        <v>142</v>
      </c>
    </row>
    <row r="37" customFormat="false" ht="16.5" hidden="false" customHeight="true" outlineLevel="0" collapsed="false">
      <c r="A37" s="5" t="s">
        <v>157</v>
      </c>
      <c r="B37" s="9" t="s">
        <v>211</v>
      </c>
      <c r="C37" s="5" t="s">
        <v>211</v>
      </c>
      <c r="D37" s="5" t="s">
        <v>142</v>
      </c>
    </row>
    <row r="38" customFormat="false" ht="30" hidden="false" customHeight="true" outlineLevel="0" collapsed="false">
      <c r="A38" s="5" t="s">
        <v>703</v>
      </c>
      <c r="B38" s="9" t="s">
        <v>1292</v>
      </c>
      <c r="C38" s="5" t="s">
        <v>211</v>
      </c>
      <c r="D38" s="5" t="s">
        <v>142</v>
      </c>
    </row>
    <row r="39" customFormat="false" ht="69.75" hidden="false" customHeight="true" outlineLevel="0" collapsed="false">
      <c r="A39" s="5" t="s">
        <v>1293</v>
      </c>
      <c r="B39" s="9" t="s">
        <v>221</v>
      </c>
      <c r="C39" s="5" t="s">
        <v>211</v>
      </c>
      <c r="D39" s="5" t="s">
        <v>142</v>
      </c>
    </row>
    <row r="40" customFormat="false" ht="7.5" hidden="false" customHeight="true" outlineLevel="0" collapsed="false"/>
    <row r="41" customFormat="false" ht="43.5" hidden="false" customHeight="true" outlineLevel="0" collapsed="false">
      <c r="A41" s="6" t="s">
        <v>1294</v>
      </c>
      <c r="B41" s="6"/>
      <c r="C41" s="6"/>
      <c r="D41" s="6"/>
    </row>
    <row r="42" customFormat="false" ht="7.5" hidden="false" customHeight="true" outlineLevel="0" collapsed="false"/>
    <row r="43" customFormat="false" ht="18" hidden="false" customHeight="true" outlineLevel="0" collapsed="false">
      <c r="A43" s="37" t="s">
        <v>1295</v>
      </c>
      <c r="B43" s="37"/>
      <c r="C43" s="37"/>
      <c r="D43" s="37"/>
    </row>
    <row r="44" customFormat="false" ht="16.5" hidden="false" customHeight="true" outlineLevel="0" collapsed="false">
      <c r="A44" s="4" t="s">
        <v>1250</v>
      </c>
      <c r="B44" s="4" t="s">
        <v>1296</v>
      </c>
      <c r="C44" s="4" t="s">
        <v>1062</v>
      </c>
      <c r="D44" s="4"/>
    </row>
    <row r="45" customFormat="false" ht="69.75" hidden="false" customHeight="true" outlineLevel="0" collapsed="false">
      <c r="A45" s="5" t="s">
        <v>1297</v>
      </c>
      <c r="B45" s="5" t="s">
        <v>1298</v>
      </c>
      <c r="C45" s="5" t="s">
        <v>1299</v>
      </c>
      <c r="D45" s="5"/>
    </row>
    <row r="46" customFormat="false" ht="56.25" hidden="false" customHeight="true" outlineLevel="0" collapsed="false">
      <c r="A46" s="5" t="s">
        <v>1300</v>
      </c>
      <c r="B46" s="5" t="s">
        <v>1301</v>
      </c>
      <c r="C46" s="5" t="s">
        <v>1302</v>
      </c>
      <c r="D46" s="5"/>
    </row>
    <row r="47" customFormat="false" ht="7.5" hidden="false" customHeight="true" outlineLevel="0" collapsed="false"/>
    <row r="48" customFormat="false" ht="30" hidden="false" customHeight="true" outlineLevel="0" collapsed="false">
      <c r="A48" s="35" t="s">
        <v>1303</v>
      </c>
      <c r="B48" s="35"/>
      <c r="C48" s="35"/>
      <c r="D48" s="35"/>
    </row>
    <row r="49" customFormat="false" ht="7.5" hidden="false" customHeight="true" outlineLevel="0" collapsed="false"/>
    <row r="50" customFormat="false" ht="18" hidden="false" customHeight="true" outlineLevel="0" collapsed="false">
      <c r="A50" s="37" t="s">
        <v>1304</v>
      </c>
      <c r="B50" s="37"/>
      <c r="C50" s="37"/>
      <c r="D50" s="37"/>
    </row>
    <row r="51" customFormat="false" ht="16.5" hidden="false" customHeight="true" outlineLevel="0" collapsed="false">
      <c r="A51" s="4" t="s">
        <v>1305</v>
      </c>
      <c r="B51" s="4" t="s">
        <v>1306</v>
      </c>
      <c r="C51" s="4" t="s">
        <v>206</v>
      </c>
      <c r="D51" s="4"/>
    </row>
    <row r="52" customFormat="false" ht="43.5" hidden="false" customHeight="true" outlineLevel="0" collapsed="false">
      <c r="A52" s="5" t="s">
        <v>1307</v>
      </c>
      <c r="B52" s="5" t="s">
        <v>185</v>
      </c>
      <c r="C52" s="5" t="s">
        <v>1308</v>
      </c>
      <c r="D52" s="5"/>
    </row>
    <row r="53" customFormat="false" ht="30" hidden="false" customHeight="true" outlineLevel="0" collapsed="false">
      <c r="A53" s="5" t="s">
        <v>1309</v>
      </c>
      <c r="B53" s="5" t="s">
        <v>197</v>
      </c>
      <c r="C53" s="5" t="s">
        <v>1310</v>
      </c>
      <c r="D53" s="5"/>
    </row>
    <row r="54" customFormat="false" ht="7.5" hidden="false" customHeight="true" outlineLevel="0" collapsed="false"/>
    <row r="55" customFormat="false" ht="18" hidden="false" customHeight="true" outlineLevel="0" collapsed="false">
      <c r="A55" s="37" t="s">
        <v>1311</v>
      </c>
      <c r="B55" s="37"/>
      <c r="C55" s="37"/>
      <c r="D55" s="37"/>
    </row>
    <row r="56" customFormat="false" ht="30" hidden="false" customHeight="true" outlineLevel="0" collapsed="false">
      <c r="A56" s="4" t="s">
        <v>1312</v>
      </c>
      <c r="B56" s="4" t="s">
        <v>1313</v>
      </c>
      <c r="C56" s="4"/>
      <c r="D56" s="4"/>
    </row>
    <row r="57" customFormat="false" ht="69.75" hidden="false" customHeight="true" outlineLevel="0" collapsed="false">
      <c r="A57" s="5" t="s">
        <v>1314</v>
      </c>
      <c r="B57" s="5" t="s">
        <v>1315</v>
      </c>
      <c r="C57" s="5"/>
      <c r="D57" s="5"/>
    </row>
    <row r="58" customFormat="false" ht="7.5" hidden="false" customHeight="true" outlineLevel="0" collapsed="false"/>
    <row r="59" customFormat="false" ht="16.5" hidden="false" customHeight="true" outlineLevel="0" collapsed="false">
      <c r="A59" s="10" t="s">
        <v>1316</v>
      </c>
      <c r="B59" s="10"/>
      <c r="C59" s="10"/>
      <c r="D59" s="10"/>
    </row>
    <row r="60" customFormat="false" ht="7.5" hidden="false" customHeight="true" outlineLevel="0" collapsed="false"/>
    <row r="61" customFormat="false" ht="16.5" hidden="false" customHeight="true" outlineLevel="0" collapsed="false">
      <c r="A61" s="7" t="s">
        <v>86</v>
      </c>
      <c r="B61" s="7"/>
      <c r="C61" s="7"/>
      <c r="D61" s="7"/>
    </row>
    <row r="62" customFormat="false" ht="16.5" hidden="false" customHeight="true" outlineLevel="0" collapsed="false">
      <c r="A62" s="8" t="s">
        <v>1317</v>
      </c>
      <c r="B62" s="8"/>
      <c r="C62" s="8"/>
      <c r="D62" s="8"/>
    </row>
    <row r="63" customFormat="false" ht="16.5" hidden="false" customHeight="true" outlineLevel="0" collapsed="false">
      <c r="A63" s="8" t="s">
        <v>1318</v>
      </c>
      <c r="B63" s="8"/>
      <c r="C63" s="8"/>
      <c r="D63" s="8"/>
    </row>
    <row r="64" customFormat="false" ht="16.5" hidden="false" customHeight="true" outlineLevel="0" collapsed="false">
      <c r="A64" s="8" t="s">
        <v>1319</v>
      </c>
      <c r="B64" s="8"/>
      <c r="C64" s="8"/>
      <c r="D64" s="8"/>
    </row>
    <row r="65" customFormat="false" ht="16.5" hidden="false" customHeight="true" outlineLevel="0" collapsed="false">
      <c r="A65" s="8" t="s">
        <v>1320</v>
      </c>
      <c r="B65" s="8"/>
      <c r="C65" s="8"/>
      <c r="D65" s="8"/>
    </row>
    <row r="66" customFormat="false" ht="16.5" hidden="false" customHeight="true" outlineLevel="0" collapsed="false">
      <c r="A66" s="8" t="s">
        <v>1321</v>
      </c>
      <c r="B66" s="8"/>
      <c r="C66" s="8"/>
      <c r="D66" s="8"/>
    </row>
    <row r="67" customFormat="false" ht="7.5" hidden="false" customHeight="true" outlineLevel="0" collapsed="false"/>
  </sheetData>
  <mergeCells count="41">
    <mergeCell ref="A1:D1"/>
    <mergeCell ref="A2:D2"/>
    <mergeCell ref="A4:D4"/>
    <mergeCell ref="C5:D5"/>
    <mergeCell ref="C6:D6"/>
    <mergeCell ref="C7:D7"/>
    <mergeCell ref="C8:D8"/>
    <mergeCell ref="C9:D9"/>
    <mergeCell ref="C10:D10"/>
    <mergeCell ref="A12:D12"/>
    <mergeCell ref="A14:D14"/>
    <mergeCell ref="A16:D16"/>
    <mergeCell ref="C17:D17"/>
    <mergeCell ref="C18:D18"/>
    <mergeCell ref="C19:D19"/>
    <mergeCell ref="C20:D20"/>
    <mergeCell ref="C21:D21"/>
    <mergeCell ref="C22:D22"/>
    <mergeCell ref="C23:D23"/>
    <mergeCell ref="A25:D25"/>
    <mergeCell ref="A27:D27"/>
    <mergeCell ref="A41:D41"/>
    <mergeCell ref="A43:D43"/>
    <mergeCell ref="C44:D44"/>
    <mergeCell ref="C45:D45"/>
    <mergeCell ref="C46:D46"/>
    <mergeCell ref="A48:D48"/>
    <mergeCell ref="A50:D50"/>
    <mergeCell ref="C51:D51"/>
    <mergeCell ref="C52:D52"/>
    <mergeCell ref="C53:D53"/>
    <mergeCell ref="A55:D55"/>
    <mergeCell ref="B56:D56"/>
    <mergeCell ref="B57:D57"/>
    <mergeCell ref="A59:D59"/>
    <mergeCell ref="A61:D61"/>
    <mergeCell ref="A62:D62"/>
    <mergeCell ref="A63:D63"/>
    <mergeCell ref="A64:D64"/>
    <mergeCell ref="A65:D65"/>
    <mergeCell ref="A66:D6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true"/>
  </sheetPr>
  <dimension ref="A1:D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38"/>
  </cols>
  <sheetData>
    <row r="1" customFormat="false" ht="30" hidden="false" customHeight="true" outlineLevel="0" collapsed="false">
      <c r="A1" s="38" t="s">
        <v>1322</v>
      </c>
      <c r="B1" s="38"/>
      <c r="C1" s="38"/>
      <c r="D1" s="38"/>
    </row>
    <row r="2" customFormat="false" ht="47.25" hidden="false" customHeight="true" outlineLevel="0" collapsed="false">
      <c r="A2" s="2" t="s">
        <v>1323</v>
      </c>
      <c r="B2" s="2"/>
      <c r="C2" s="2"/>
      <c r="D2" s="2"/>
    </row>
    <row r="3" customFormat="false" ht="7.5" hidden="false" customHeight="true" outlineLevel="0" collapsed="false"/>
    <row r="4" customFormat="false" ht="18" hidden="false" customHeight="true" outlineLevel="0" collapsed="false">
      <c r="A4" s="39" t="s">
        <v>1324</v>
      </c>
      <c r="B4" s="39"/>
      <c r="C4" s="39"/>
      <c r="D4" s="39"/>
    </row>
    <row r="5" customFormat="false" ht="16.5" hidden="false" customHeight="true" outlineLevel="0" collapsed="false">
      <c r="A5" s="4"/>
      <c r="B5" s="4" t="s">
        <v>1325</v>
      </c>
      <c r="C5" s="4" t="s">
        <v>1326</v>
      </c>
      <c r="D5" s="4" t="s">
        <v>1327</v>
      </c>
    </row>
    <row r="6" customFormat="false" ht="30" hidden="false" customHeight="true" outlineLevel="0" collapsed="false">
      <c r="A6" s="5" t="s">
        <v>1328</v>
      </c>
      <c r="B6" s="5" t="s">
        <v>1329</v>
      </c>
      <c r="C6" s="5" t="s">
        <v>1329</v>
      </c>
      <c r="D6" s="5" t="s">
        <v>1330</v>
      </c>
    </row>
    <row r="7" customFormat="false" ht="16.5" hidden="false" customHeight="true" outlineLevel="0" collapsed="false">
      <c r="A7" s="5" t="s">
        <v>1331</v>
      </c>
      <c r="B7" s="5" t="s">
        <v>1332</v>
      </c>
      <c r="C7" s="5" t="s">
        <v>1332</v>
      </c>
      <c r="D7" s="5" t="s">
        <v>1333</v>
      </c>
    </row>
    <row r="8" customFormat="false" ht="43.5" hidden="false" customHeight="true" outlineLevel="0" collapsed="false">
      <c r="A8" s="5" t="s">
        <v>1334</v>
      </c>
      <c r="B8" s="5" t="s">
        <v>1335</v>
      </c>
      <c r="C8" s="5" t="s">
        <v>1336</v>
      </c>
      <c r="D8" s="5" t="s">
        <v>1336</v>
      </c>
    </row>
    <row r="9" customFormat="false" ht="30" hidden="false" customHeight="true" outlineLevel="0" collapsed="false">
      <c r="A9" s="5" t="s">
        <v>1337</v>
      </c>
      <c r="B9" s="5" t="s">
        <v>1338</v>
      </c>
      <c r="C9" s="5" t="s">
        <v>1338</v>
      </c>
      <c r="D9" s="5" t="s">
        <v>1336</v>
      </c>
    </row>
    <row r="10" customFormat="false" ht="7.5" hidden="false" customHeight="true" outlineLevel="0" collapsed="false"/>
    <row r="11" customFormat="false" ht="30" hidden="false" customHeight="true" outlineLevel="0" collapsed="false">
      <c r="A11" s="10" t="s">
        <v>1339</v>
      </c>
      <c r="B11" s="10"/>
      <c r="C11" s="10"/>
      <c r="D11" s="10"/>
    </row>
    <row r="12" customFormat="false" ht="7.5" hidden="false" customHeight="true" outlineLevel="0" collapsed="false"/>
    <row r="13" customFormat="false" ht="30" hidden="false" customHeight="true" outlineLevel="0" collapsed="false">
      <c r="A13" s="6" t="s">
        <v>1340</v>
      </c>
      <c r="B13" s="6"/>
      <c r="C13" s="6"/>
      <c r="D13" s="6"/>
    </row>
    <row r="14" customFormat="false" ht="7.5" hidden="false" customHeight="true" outlineLevel="0" collapsed="false"/>
    <row r="15" customFormat="false" ht="18" hidden="false" customHeight="true" outlineLevel="0" collapsed="false">
      <c r="A15" s="39" t="s">
        <v>1341</v>
      </c>
      <c r="B15" s="39"/>
      <c r="C15" s="39"/>
      <c r="D15" s="39"/>
    </row>
    <row r="16" customFormat="false" ht="16.5" hidden="false" customHeight="true" outlineLevel="0" collapsed="false">
      <c r="A16" s="4" t="s">
        <v>137</v>
      </c>
      <c r="B16" s="4" t="s">
        <v>1325</v>
      </c>
      <c r="C16" s="4" t="s">
        <v>1326</v>
      </c>
      <c r="D16" s="4" t="s">
        <v>1327</v>
      </c>
    </row>
    <row r="17" customFormat="false" ht="43.5" hidden="false" customHeight="true" outlineLevel="0" collapsed="false">
      <c r="A17" s="5" t="s">
        <v>1342</v>
      </c>
      <c r="B17" s="5" t="s">
        <v>211</v>
      </c>
      <c r="C17" s="5" t="s">
        <v>211</v>
      </c>
      <c r="D17" s="5" t="s">
        <v>142</v>
      </c>
    </row>
    <row r="18" customFormat="false" ht="30" hidden="false" customHeight="true" outlineLevel="0" collapsed="false">
      <c r="A18" s="5" t="s">
        <v>1343</v>
      </c>
      <c r="B18" s="5" t="s">
        <v>1344</v>
      </c>
      <c r="C18" s="5" t="s">
        <v>1344</v>
      </c>
      <c r="D18" s="5" t="s">
        <v>247</v>
      </c>
    </row>
    <row r="19" customFormat="false" ht="16.5" hidden="false" customHeight="true" outlineLevel="0" collapsed="false">
      <c r="A19" s="5" t="s">
        <v>1345</v>
      </c>
      <c r="B19" s="5" t="s">
        <v>211</v>
      </c>
      <c r="C19" s="5" t="s">
        <v>211</v>
      </c>
      <c r="D19" s="5" t="s">
        <v>142</v>
      </c>
    </row>
    <row r="20" customFormat="false" ht="16.5" hidden="false" customHeight="true" outlineLevel="0" collapsed="false">
      <c r="A20" s="5" t="s">
        <v>703</v>
      </c>
      <c r="B20" s="5" t="s">
        <v>1346</v>
      </c>
      <c r="C20" s="5"/>
      <c r="D20" s="5"/>
    </row>
    <row r="21" customFormat="false" ht="7.5" hidden="false" customHeight="true" outlineLevel="0" collapsed="false"/>
    <row r="22" customFormat="false" ht="18" hidden="false" customHeight="true" outlineLevel="0" collapsed="false">
      <c r="A22" s="39" t="s">
        <v>1347</v>
      </c>
      <c r="B22" s="39"/>
      <c r="C22" s="39"/>
      <c r="D22" s="39"/>
    </row>
    <row r="23" customFormat="false" ht="16.5" hidden="false" customHeight="true" outlineLevel="0" collapsed="false">
      <c r="A23" s="4" t="s">
        <v>1305</v>
      </c>
      <c r="B23" s="4" t="s">
        <v>1325</v>
      </c>
      <c r="C23" s="4" t="s">
        <v>1326</v>
      </c>
      <c r="D23" s="4" t="s">
        <v>1327</v>
      </c>
    </row>
    <row r="24" customFormat="false" ht="43.5" hidden="false" customHeight="true" outlineLevel="0" collapsed="false">
      <c r="A24" s="5" t="s">
        <v>1348</v>
      </c>
      <c r="B24" s="5" t="s">
        <v>185</v>
      </c>
      <c r="C24" s="5" t="s">
        <v>185</v>
      </c>
      <c r="D24" s="5" t="s">
        <v>185</v>
      </c>
    </row>
    <row r="25" customFormat="false" ht="43.5" hidden="false" customHeight="true" outlineLevel="0" collapsed="false">
      <c r="A25" s="5" t="s">
        <v>1349</v>
      </c>
      <c r="B25" s="5" t="s">
        <v>197</v>
      </c>
      <c r="C25" s="5" t="s">
        <v>1336</v>
      </c>
      <c r="D25" s="5" t="s">
        <v>1336</v>
      </c>
    </row>
    <row r="26" customFormat="false" ht="7.5" hidden="false" customHeight="true" outlineLevel="0" collapsed="false"/>
    <row r="27" customFormat="false" ht="18" hidden="false" customHeight="true" outlineLevel="0" collapsed="false">
      <c r="A27" s="39" t="s">
        <v>1350</v>
      </c>
      <c r="B27" s="39"/>
      <c r="C27" s="39"/>
      <c r="D27" s="39"/>
    </row>
    <row r="28" customFormat="false" ht="16.5" hidden="false" customHeight="true" outlineLevel="0" collapsed="false">
      <c r="A28" s="4" t="s">
        <v>1351</v>
      </c>
      <c r="B28" s="4" t="s">
        <v>166</v>
      </c>
      <c r="C28" s="4" t="s">
        <v>1250</v>
      </c>
      <c r="D28" s="4"/>
    </row>
    <row r="29" customFormat="false" ht="69.75" hidden="false" customHeight="true" outlineLevel="0" collapsed="false">
      <c r="A29" s="5" t="s">
        <v>1352</v>
      </c>
      <c r="B29" s="9" t="s">
        <v>1353</v>
      </c>
      <c r="C29" s="5" t="s">
        <v>1354</v>
      </c>
      <c r="D29" s="5"/>
    </row>
    <row r="30" customFormat="false" ht="82.5" hidden="false" customHeight="true" outlineLevel="0" collapsed="false">
      <c r="A30" s="5" t="s">
        <v>1355</v>
      </c>
      <c r="B30" s="9" t="s">
        <v>247</v>
      </c>
      <c r="C30" s="5" t="s">
        <v>1354</v>
      </c>
      <c r="D30" s="5"/>
    </row>
    <row r="31" customFormat="false" ht="16.5" hidden="false" customHeight="true" outlineLevel="0" collapsed="false">
      <c r="A31" s="5" t="s">
        <v>1356</v>
      </c>
      <c r="B31" s="9" t="s">
        <v>1357</v>
      </c>
      <c r="C31" s="5" t="s">
        <v>1326</v>
      </c>
      <c r="D31" s="5"/>
    </row>
    <row r="32" customFormat="false" ht="43.5" hidden="false" customHeight="true" outlineLevel="0" collapsed="false">
      <c r="A32" s="5" t="s">
        <v>1358</v>
      </c>
      <c r="B32" s="9" t="s">
        <v>1359</v>
      </c>
      <c r="C32" s="5" t="s">
        <v>1327</v>
      </c>
      <c r="D32" s="5"/>
    </row>
    <row r="33" customFormat="false" ht="43.5" hidden="false" customHeight="true" outlineLevel="0" collapsed="false">
      <c r="A33" s="5" t="s">
        <v>1360</v>
      </c>
      <c r="B33" s="9" t="s">
        <v>1361</v>
      </c>
      <c r="C33" s="5" t="s">
        <v>1327</v>
      </c>
      <c r="D33" s="5"/>
    </row>
    <row r="34" customFormat="false" ht="43.5" hidden="false" customHeight="true" outlineLevel="0" collapsed="false">
      <c r="A34" s="5" t="s">
        <v>235</v>
      </c>
      <c r="B34" s="9" t="s">
        <v>1362</v>
      </c>
      <c r="C34" s="5" t="s">
        <v>1327</v>
      </c>
      <c r="D34" s="5"/>
    </row>
    <row r="35" customFormat="false" ht="30" hidden="false" customHeight="true" outlineLevel="0" collapsed="false">
      <c r="A35" s="5" t="s">
        <v>1363</v>
      </c>
      <c r="B35" s="9" t="s">
        <v>1364</v>
      </c>
      <c r="C35" s="5" t="s">
        <v>1326</v>
      </c>
      <c r="D35" s="5"/>
    </row>
    <row r="36" customFormat="false" ht="69.75" hidden="false" customHeight="true" outlineLevel="0" collapsed="false">
      <c r="A36" s="5" t="s">
        <v>1365</v>
      </c>
      <c r="B36" s="9" t="s">
        <v>247</v>
      </c>
      <c r="C36" s="5" t="s">
        <v>1326</v>
      </c>
      <c r="D36" s="5"/>
    </row>
    <row r="37" customFormat="false" ht="30" hidden="false" customHeight="true" outlineLevel="0" collapsed="false">
      <c r="A37" s="5" t="s">
        <v>1366</v>
      </c>
      <c r="B37" s="9" t="s">
        <v>1364</v>
      </c>
      <c r="C37" s="5" t="s">
        <v>1326</v>
      </c>
      <c r="D37" s="5"/>
    </row>
    <row r="38" customFormat="false" ht="56.25" hidden="false" customHeight="true" outlineLevel="0" collapsed="false">
      <c r="A38" s="5" t="s">
        <v>1367</v>
      </c>
      <c r="B38" s="9" t="s">
        <v>185</v>
      </c>
      <c r="C38" s="5" t="s">
        <v>1326</v>
      </c>
      <c r="D38" s="5"/>
    </row>
    <row r="39" customFormat="false" ht="7.5" hidden="false" customHeight="true" outlineLevel="0" collapsed="false"/>
    <row r="40" customFormat="false" ht="30" hidden="false" customHeight="true" outlineLevel="0" collapsed="false">
      <c r="A40" s="35" t="s">
        <v>1368</v>
      </c>
      <c r="B40" s="35"/>
      <c r="C40" s="35"/>
      <c r="D40" s="35"/>
    </row>
    <row r="41" customFormat="false" ht="7.5" hidden="false" customHeight="true" outlineLevel="0" collapsed="false"/>
    <row r="42" customFormat="false" ht="18" hidden="false" customHeight="true" outlineLevel="0" collapsed="false">
      <c r="A42" s="39" t="s">
        <v>1369</v>
      </c>
      <c r="B42" s="39"/>
      <c r="C42" s="39"/>
      <c r="D42" s="39"/>
    </row>
    <row r="43" customFormat="false" ht="16.5" hidden="false" customHeight="true" outlineLevel="0" collapsed="false">
      <c r="A43" s="5" t="s">
        <v>1370</v>
      </c>
      <c r="B43" s="5"/>
      <c r="C43" s="5"/>
      <c r="D43" s="5"/>
    </row>
    <row r="44" customFormat="false" ht="16.5" hidden="false" customHeight="true" outlineLevel="0" collapsed="false">
      <c r="A44" s="5" t="s">
        <v>1371</v>
      </c>
      <c r="B44" s="5"/>
      <c r="C44" s="5"/>
      <c r="D44" s="5"/>
    </row>
    <row r="45" customFormat="false" ht="16.5" hidden="false" customHeight="true" outlineLevel="0" collapsed="false">
      <c r="A45" s="5" t="s">
        <v>1372</v>
      </c>
      <c r="B45" s="5"/>
      <c r="C45" s="5"/>
      <c r="D45" s="5"/>
    </row>
    <row r="46" customFormat="false" ht="16.5" hidden="false" customHeight="true" outlineLevel="0" collapsed="false">
      <c r="A46" s="5" t="s">
        <v>1373</v>
      </c>
      <c r="B46" s="5"/>
      <c r="C46" s="5"/>
      <c r="D46" s="5"/>
    </row>
    <row r="47" customFormat="false" ht="16.5" hidden="false" customHeight="true" outlineLevel="0" collapsed="false">
      <c r="A47" s="5" t="s">
        <v>1374</v>
      </c>
      <c r="B47" s="5"/>
      <c r="C47" s="5"/>
      <c r="D47" s="5"/>
    </row>
    <row r="48" customFormat="false" ht="7.5" hidden="false" customHeight="true" outlineLevel="0" collapsed="false"/>
    <row r="49" customFormat="false" ht="16.5" hidden="false" customHeight="true" outlineLevel="0" collapsed="false">
      <c r="A49" s="10" t="s">
        <v>1375</v>
      </c>
      <c r="B49" s="10"/>
      <c r="C49" s="10"/>
      <c r="D49" s="10"/>
    </row>
    <row r="50" customFormat="false" ht="7.5" hidden="false" customHeight="true" outlineLevel="0" collapsed="false"/>
    <row r="51" customFormat="false" ht="18" hidden="false" customHeight="true" outlineLevel="0" collapsed="false">
      <c r="A51" s="39" t="s">
        <v>1376</v>
      </c>
      <c r="B51" s="39"/>
      <c r="C51" s="39"/>
      <c r="D51" s="39"/>
    </row>
    <row r="52" customFormat="false" ht="16.5" hidden="false" customHeight="true" outlineLevel="0" collapsed="false">
      <c r="A52" s="4" t="s">
        <v>1183</v>
      </c>
      <c r="B52" s="4" t="s">
        <v>1377</v>
      </c>
      <c r="C52" s="4" t="s">
        <v>1378</v>
      </c>
      <c r="D52" s="4"/>
    </row>
    <row r="53" customFormat="false" ht="109.5" hidden="false" customHeight="true" outlineLevel="0" collapsed="false">
      <c r="A53" s="5" t="s">
        <v>1379</v>
      </c>
      <c r="B53" s="9" t="s">
        <v>1380</v>
      </c>
      <c r="C53" s="5" t="s">
        <v>1381</v>
      </c>
      <c r="D53" s="5"/>
    </row>
    <row r="54" customFormat="false" ht="82.5" hidden="false" customHeight="true" outlineLevel="0" collapsed="false">
      <c r="A54" s="5" t="s">
        <v>1382</v>
      </c>
      <c r="B54" s="9" t="s">
        <v>1383</v>
      </c>
      <c r="C54" s="5" t="s">
        <v>1384</v>
      </c>
      <c r="D54" s="5"/>
    </row>
    <row r="55" customFormat="false" ht="30" hidden="false" customHeight="true" outlineLevel="0" collapsed="false">
      <c r="A55" s="5" t="s">
        <v>1385</v>
      </c>
      <c r="B55" s="9" t="s">
        <v>1386</v>
      </c>
      <c r="C55" s="5" t="s">
        <v>1387</v>
      </c>
      <c r="D55" s="5"/>
    </row>
    <row r="56" customFormat="false" ht="82.5" hidden="false" customHeight="true" outlineLevel="0" collapsed="false">
      <c r="A56" s="5" t="s">
        <v>1388</v>
      </c>
      <c r="B56" s="9" t="s">
        <v>1389</v>
      </c>
      <c r="C56" s="5" t="s">
        <v>1390</v>
      </c>
      <c r="D56" s="5"/>
    </row>
    <row r="57" customFormat="false" ht="56.25" hidden="false" customHeight="true" outlineLevel="0" collapsed="false">
      <c r="A57" s="5" t="s">
        <v>1391</v>
      </c>
      <c r="B57" s="9" t="s">
        <v>1392</v>
      </c>
      <c r="C57" s="5" t="s">
        <v>1393</v>
      </c>
      <c r="D57" s="5"/>
    </row>
    <row r="58" customFormat="false" ht="30" hidden="false" customHeight="true" outlineLevel="0" collapsed="false">
      <c r="A58" s="5" t="s">
        <v>1394</v>
      </c>
      <c r="B58" s="9" t="s">
        <v>1395</v>
      </c>
      <c r="C58" s="5" t="s">
        <v>1394</v>
      </c>
      <c r="D58" s="5"/>
    </row>
    <row r="59" customFormat="false" ht="7.5" hidden="false" customHeight="true" outlineLevel="0" collapsed="false"/>
    <row r="60" customFormat="false" ht="30" hidden="false" customHeight="true" outlineLevel="0" collapsed="false">
      <c r="A60" s="35" t="s">
        <v>1396</v>
      </c>
      <c r="B60" s="35"/>
      <c r="C60" s="35"/>
      <c r="D60" s="35"/>
    </row>
    <row r="61" customFormat="false" ht="7.5" hidden="false" customHeight="true" outlineLevel="0" collapsed="false"/>
    <row r="62" customFormat="false" ht="16.5" hidden="false" customHeight="true" outlineLevel="0" collapsed="false">
      <c r="A62" s="7" t="s">
        <v>86</v>
      </c>
      <c r="B62" s="7"/>
      <c r="C62" s="7"/>
      <c r="D62" s="7"/>
    </row>
    <row r="63" customFormat="false" ht="16.5" hidden="false" customHeight="true" outlineLevel="0" collapsed="false">
      <c r="A63" s="8" t="s">
        <v>1397</v>
      </c>
      <c r="B63" s="8"/>
      <c r="C63" s="8"/>
      <c r="D63" s="8"/>
    </row>
    <row r="64" customFormat="false" ht="16.5" hidden="false" customHeight="true" outlineLevel="0" collapsed="false">
      <c r="A64" s="8" t="s">
        <v>1398</v>
      </c>
      <c r="B64" s="8"/>
      <c r="C64" s="8"/>
      <c r="D64" s="8"/>
    </row>
    <row r="65" customFormat="false" ht="16.5" hidden="false" customHeight="true" outlineLevel="0" collapsed="false">
      <c r="A65" s="8" t="s">
        <v>1399</v>
      </c>
      <c r="B65" s="8"/>
      <c r="C65" s="8"/>
      <c r="D65" s="8"/>
    </row>
    <row r="66" customFormat="false" ht="16.5" hidden="false" customHeight="true" outlineLevel="0" collapsed="false">
      <c r="A66" s="8" t="s">
        <v>1400</v>
      </c>
      <c r="B66" s="8"/>
      <c r="C66" s="8"/>
      <c r="D66" s="8"/>
    </row>
    <row r="67" customFormat="false" ht="16.5" hidden="false" customHeight="true" outlineLevel="0" collapsed="false">
      <c r="A67" s="8" t="s">
        <v>1401</v>
      </c>
      <c r="B67" s="8"/>
      <c r="C67" s="8"/>
      <c r="D67" s="8"/>
    </row>
    <row r="68" customFormat="false" ht="7.5" hidden="false" customHeight="true" outlineLevel="0" collapsed="false"/>
  </sheetData>
  <mergeCells count="42">
    <mergeCell ref="A1:D1"/>
    <mergeCell ref="A2:D2"/>
    <mergeCell ref="A4:D4"/>
    <mergeCell ref="A11:D11"/>
    <mergeCell ref="A13:D13"/>
    <mergeCell ref="A15:D15"/>
    <mergeCell ref="A22:D22"/>
    <mergeCell ref="A27:D27"/>
    <mergeCell ref="C28:D28"/>
    <mergeCell ref="C29:D29"/>
    <mergeCell ref="C30:D30"/>
    <mergeCell ref="C31:D31"/>
    <mergeCell ref="C32:D32"/>
    <mergeCell ref="C33:D33"/>
    <mergeCell ref="C34:D34"/>
    <mergeCell ref="C35:D35"/>
    <mergeCell ref="C36:D36"/>
    <mergeCell ref="C37:D37"/>
    <mergeCell ref="C38:D38"/>
    <mergeCell ref="A40:D40"/>
    <mergeCell ref="A42:D42"/>
    <mergeCell ref="A43:D43"/>
    <mergeCell ref="A44:D44"/>
    <mergeCell ref="A45:D45"/>
    <mergeCell ref="A46:D46"/>
    <mergeCell ref="A47:D47"/>
    <mergeCell ref="A49:D49"/>
    <mergeCell ref="A51:D51"/>
    <mergeCell ref="C52:D52"/>
    <mergeCell ref="C53:D53"/>
    <mergeCell ref="C54:D54"/>
    <mergeCell ref="C55:D55"/>
    <mergeCell ref="C56:D56"/>
    <mergeCell ref="C57:D57"/>
    <mergeCell ref="C58:D58"/>
    <mergeCell ref="A60:D60"/>
    <mergeCell ref="A62:D62"/>
    <mergeCell ref="A63:D63"/>
    <mergeCell ref="A64:D64"/>
    <mergeCell ref="A65:D65"/>
    <mergeCell ref="A66:D66"/>
    <mergeCell ref="A67:D6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true"/>
  </sheetPr>
  <dimension ref="A1:D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38"/>
  </cols>
  <sheetData>
    <row r="1" customFormat="false" ht="30" hidden="false" customHeight="true" outlineLevel="0" collapsed="false">
      <c r="A1" s="38" t="s">
        <v>1402</v>
      </c>
      <c r="B1" s="38"/>
      <c r="C1" s="38"/>
      <c r="D1" s="38"/>
    </row>
    <row r="2" customFormat="false" ht="33" hidden="false" customHeight="true" outlineLevel="0" collapsed="false">
      <c r="A2" s="2" t="s">
        <v>1403</v>
      </c>
      <c r="B2" s="2"/>
      <c r="C2" s="2"/>
      <c r="D2" s="2"/>
    </row>
    <row r="3" customFormat="false" ht="7.5" hidden="false" customHeight="true" outlineLevel="0" collapsed="false"/>
    <row r="4" customFormat="false" ht="18" hidden="false" customHeight="true" outlineLevel="0" collapsed="false">
      <c r="A4" s="39" t="s">
        <v>1404</v>
      </c>
      <c r="B4" s="39"/>
      <c r="C4" s="39"/>
      <c r="D4" s="39"/>
    </row>
    <row r="5" customFormat="false" ht="16.5" hidden="false" customHeight="true" outlineLevel="0" collapsed="false">
      <c r="A5" s="4" t="s">
        <v>1405</v>
      </c>
      <c r="B5" s="4" t="s">
        <v>1406</v>
      </c>
      <c r="C5" s="4" t="s">
        <v>1407</v>
      </c>
      <c r="D5" s="4" t="s">
        <v>1408</v>
      </c>
    </row>
    <row r="6" customFormat="false" ht="16.5" hidden="false" customHeight="true" outlineLevel="0" collapsed="false">
      <c r="A6" s="5" t="s">
        <v>1409</v>
      </c>
      <c r="B6" s="5" t="s">
        <v>221</v>
      </c>
      <c r="C6" s="5" t="s">
        <v>221</v>
      </c>
      <c r="D6" s="5" t="s">
        <v>221</v>
      </c>
    </row>
    <row r="7" customFormat="false" ht="16.5" hidden="false" customHeight="true" outlineLevel="0" collapsed="false">
      <c r="A7" s="5" t="s">
        <v>1410</v>
      </c>
      <c r="B7" s="5" t="s">
        <v>1291</v>
      </c>
      <c r="C7" s="5" t="s">
        <v>1411</v>
      </c>
      <c r="D7" s="5" t="s">
        <v>1411</v>
      </c>
    </row>
    <row r="8" customFormat="false" ht="16.5" hidden="false" customHeight="true" outlineLevel="0" collapsed="false">
      <c r="A8" s="5" t="s">
        <v>1412</v>
      </c>
      <c r="B8" s="5" t="s">
        <v>1291</v>
      </c>
      <c r="C8" s="5" t="s">
        <v>1413</v>
      </c>
      <c r="D8" s="5" t="s">
        <v>1413</v>
      </c>
    </row>
    <row r="9" customFormat="false" ht="7.5" hidden="false" customHeight="true" outlineLevel="0" collapsed="false"/>
    <row r="10" customFormat="false" ht="16.5" hidden="false" customHeight="true" outlineLevel="0" collapsed="false">
      <c r="A10" s="4" t="s">
        <v>1405</v>
      </c>
      <c r="B10" s="4" t="s">
        <v>1285</v>
      </c>
      <c r="C10" s="4" t="s">
        <v>139</v>
      </c>
      <c r="D10" s="4"/>
    </row>
    <row r="11" customFormat="false" ht="16.5" hidden="false" customHeight="true" outlineLevel="0" collapsed="false">
      <c r="A11" s="5" t="s">
        <v>1409</v>
      </c>
      <c r="B11" s="5" t="s">
        <v>211</v>
      </c>
      <c r="C11" s="5" t="s">
        <v>142</v>
      </c>
      <c r="D11" s="5"/>
    </row>
    <row r="12" customFormat="false" ht="16.5" hidden="false" customHeight="true" outlineLevel="0" collapsed="false">
      <c r="A12" s="5" t="s">
        <v>1410</v>
      </c>
      <c r="B12" s="5" t="s">
        <v>1411</v>
      </c>
      <c r="C12" s="5" t="s">
        <v>1414</v>
      </c>
      <c r="D12" s="5"/>
    </row>
    <row r="13" customFormat="false" ht="16.5" hidden="false" customHeight="true" outlineLevel="0" collapsed="false">
      <c r="A13" s="5" t="s">
        <v>1412</v>
      </c>
      <c r="B13" s="5" t="s">
        <v>1413</v>
      </c>
      <c r="C13" s="5" t="s">
        <v>1413</v>
      </c>
      <c r="D13" s="5"/>
    </row>
    <row r="14" customFormat="false" ht="7.5" hidden="false" customHeight="true" outlineLevel="0" collapsed="false"/>
    <row r="15" customFormat="false" ht="16.5" hidden="false" customHeight="true" outlineLevel="0" collapsed="false">
      <c r="A15" s="4" t="s">
        <v>1405</v>
      </c>
      <c r="B15" s="4" t="s">
        <v>1325</v>
      </c>
      <c r="C15" s="4" t="s">
        <v>1326</v>
      </c>
      <c r="D15" s="4" t="s">
        <v>1327</v>
      </c>
    </row>
    <row r="16" customFormat="false" ht="30" hidden="false" customHeight="true" outlineLevel="0" collapsed="false">
      <c r="A16" s="5" t="s">
        <v>1409</v>
      </c>
      <c r="B16" s="5" t="s">
        <v>247</v>
      </c>
      <c r="C16" s="5" t="s">
        <v>247</v>
      </c>
      <c r="D16" s="5" t="s">
        <v>1415</v>
      </c>
    </row>
    <row r="17" customFormat="false" ht="16.5" hidden="false" customHeight="true" outlineLevel="0" collapsed="false">
      <c r="A17" s="5" t="s">
        <v>1410</v>
      </c>
      <c r="B17" s="5" t="s">
        <v>1416</v>
      </c>
      <c r="C17" s="5" t="s">
        <v>1417</v>
      </c>
      <c r="D17" s="5" t="s">
        <v>1414</v>
      </c>
    </row>
    <row r="18" customFormat="false" ht="16.5" hidden="false" customHeight="true" outlineLevel="0" collapsed="false">
      <c r="A18" s="5" t="s">
        <v>1412</v>
      </c>
      <c r="B18" s="5" t="s">
        <v>1416</v>
      </c>
      <c r="C18" s="5" t="s">
        <v>1413</v>
      </c>
      <c r="D18" s="5" t="s">
        <v>1413</v>
      </c>
    </row>
    <row r="19" customFormat="false" ht="7.5" hidden="false" customHeight="true" outlineLevel="0" collapsed="false"/>
    <row r="20" customFormat="false" ht="30" hidden="false" customHeight="true" outlineLevel="0" collapsed="false">
      <c r="A20" s="40" t="s">
        <v>1418</v>
      </c>
      <c r="B20" s="40"/>
      <c r="C20" s="40"/>
      <c r="D20" s="40"/>
    </row>
    <row r="21" customFormat="false" ht="7.5" hidden="false" customHeight="true" outlineLevel="0" collapsed="false"/>
    <row r="22" customFormat="false" ht="18" hidden="false" customHeight="true" outlineLevel="0" collapsed="false">
      <c r="A22" s="39" t="s">
        <v>1419</v>
      </c>
      <c r="B22" s="39"/>
      <c r="C22" s="39"/>
      <c r="D22" s="39"/>
    </row>
    <row r="23" customFormat="false" ht="16.5" hidden="false" customHeight="true" outlineLevel="0" collapsed="false">
      <c r="A23" s="4" t="s">
        <v>1420</v>
      </c>
      <c r="B23" s="4" t="s">
        <v>1421</v>
      </c>
      <c r="C23" s="4" t="s">
        <v>1422</v>
      </c>
      <c r="D23" s="4"/>
    </row>
    <row r="24" customFormat="false" ht="69.75" hidden="false" customHeight="true" outlineLevel="0" collapsed="false">
      <c r="A24" s="5" t="s">
        <v>1423</v>
      </c>
      <c r="B24" s="5" t="s">
        <v>1424</v>
      </c>
      <c r="C24" s="5" t="s">
        <v>1425</v>
      </c>
      <c r="D24" s="5"/>
    </row>
    <row r="25" customFormat="false" ht="30" hidden="false" customHeight="true" outlineLevel="0" collapsed="false">
      <c r="A25" s="5" t="s">
        <v>1426</v>
      </c>
      <c r="B25" s="5" t="s">
        <v>1427</v>
      </c>
      <c r="C25" s="5" t="s">
        <v>1428</v>
      </c>
      <c r="D25" s="5"/>
    </row>
    <row r="26" customFormat="false" ht="7.5" hidden="false" customHeight="true" outlineLevel="0" collapsed="false"/>
    <row r="27" customFormat="false" ht="18" hidden="false" customHeight="true" outlineLevel="0" collapsed="false">
      <c r="A27" s="39" t="s">
        <v>1429</v>
      </c>
      <c r="B27" s="39"/>
      <c r="C27" s="39"/>
      <c r="D27" s="39"/>
    </row>
    <row r="28" customFormat="false" ht="16.5" hidden="false" customHeight="true" outlineLevel="0" collapsed="false">
      <c r="A28" s="4" t="s">
        <v>996</v>
      </c>
      <c r="B28" s="4" t="s">
        <v>1430</v>
      </c>
      <c r="C28" s="4" t="s">
        <v>1431</v>
      </c>
      <c r="D28" s="4"/>
    </row>
    <row r="29" customFormat="false" ht="43.5" hidden="false" customHeight="true" outlineLevel="0" collapsed="false">
      <c r="A29" s="5" t="s">
        <v>1000</v>
      </c>
      <c r="B29" s="5" t="s">
        <v>1432</v>
      </c>
      <c r="C29" s="5" t="s">
        <v>1433</v>
      </c>
      <c r="D29" s="5"/>
    </row>
    <row r="30" customFormat="false" ht="43.5" hidden="false" customHeight="true" outlineLevel="0" collapsed="false">
      <c r="A30" s="5" t="s">
        <v>1004</v>
      </c>
      <c r="B30" s="5" t="s">
        <v>1434</v>
      </c>
      <c r="C30" s="5" t="s">
        <v>1435</v>
      </c>
      <c r="D30" s="5"/>
    </row>
    <row r="31" customFormat="false" ht="56.25" hidden="false" customHeight="true" outlineLevel="0" collapsed="false">
      <c r="A31" s="5" t="s">
        <v>1008</v>
      </c>
      <c r="B31" s="5" t="s">
        <v>1436</v>
      </c>
      <c r="C31" s="5" t="s">
        <v>1437</v>
      </c>
      <c r="D31" s="5"/>
    </row>
    <row r="32" customFormat="false" ht="43.5" hidden="false" customHeight="true" outlineLevel="0" collapsed="false">
      <c r="A32" s="5" t="s">
        <v>1012</v>
      </c>
      <c r="B32" s="5" t="s">
        <v>1438</v>
      </c>
      <c r="C32" s="5" t="s">
        <v>211</v>
      </c>
      <c r="D32" s="5"/>
    </row>
    <row r="33" customFormat="false" ht="43.5" hidden="false" customHeight="true" outlineLevel="0" collapsed="false">
      <c r="A33" s="5" t="s">
        <v>1016</v>
      </c>
      <c r="B33" s="5" t="s">
        <v>1439</v>
      </c>
      <c r="C33" s="5" t="s">
        <v>1440</v>
      </c>
      <c r="D33" s="5"/>
    </row>
    <row r="34" customFormat="false" ht="7.5" hidden="false" customHeight="true" outlineLevel="0" collapsed="false"/>
    <row r="35" customFormat="false" ht="16.5" hidden="false" customHeight="true" outlineLevel="0" collapsed="false">
      <c r="A35" s="10" t="s">
        <v>1441</v>
      </c>
      <c r="B35" s="10"/>
      <c r="C35" s="10"/>
      <c r="D35" s="10"/>
    </row>
    <row r="36" customFormat="false" ht="7.5" hidden="false" customHeight="true" outlineLevel="0" collapsed="false"/>
    <row r="37" customFormat="false" ht="30" hidden="false" customHeight="true" outlineLevel="0" collapsed="false">
      <c r="A37" s="35" t="s">
        <v>1442</v>
      </c>
      <c r="B37" s="35"/>
      <c r="C37" s="35"/>
      <c r="D37" s="35"/>
    </row>
    <row r="38" customFormat="false" ht="7.5" hidden="false" customHeight="true" outlineLevel="0" collapsed="false"/>
  </sheetData>
  <mergeCells count="17">
    <mergeCell ref="A1:D1"/>
    <mergeCell ref="A2:D2"/>
    <mergeCell ref="A4:D4"/>
    <mergeCell ref="A20:D20"/>
    <mergeCell ref="A22:D22"/>
    <mergeCell ref="C23:D23"/>
    <mergeCell ref="C24:D24"/>
    <mergeCell ref="C25:D25"/>
    <mergeCell ref="A27:D27"/>
    <mergeCell ref="C28:D28"/>
    <mergeCell ref="C29:D29"/>
    <mergeCell ref="C30:D30"/>
    <mergeCell ref="C31:D31"/>
    <mergeCell ref="C32:D32"/>
    <mergeCell ref="C33:D33"/>
    <mergeCell ref="A35:D35"/>
    <mergeCell ref="A37:D3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true"/>
  </sheetPr>
  <dimension ref="A1:D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38"/>
  </cols>
  <sheetData>
    <row r="1" customFormat="false" ht="30" hidden="false" customHeight="true" outlineLevel="0" collapsed="false">
      <c r="A1" s="38" t="s">
        <v>1443</v>
      </c>
      <c r="B1" s="38"/>
      <c r="C1" s="38"/>
      <c r="D1" s="38"/>
    </row>
    <row r="2" customFormat="false" ht="33" hidden="false" customHeight="true" outlineLevel="0" collapsed="false">
      <c r="A2" s="2" t="s">
        <v>1444</v>
      </c>
      <c r="B2" s="2"/>
      <c r="C2" s="2"/>
      <c r="D2" s="2"/>
    </row>
    <row r="3" customFormat="false" ht="7.5" hidden="false" customHeight="true" outlineLevel="0" collapsed="false"/>
    <row r="4" customFormat="false" ht="18" hidden="false" customHeight="true" outlineLevel="0" collapsed="false">
      <c r="A4" s="39" t="s">
        <v>1445</v>
      </c>
      <c r="B4" s="39"/>
      <c r="C4" s="39"/>
      <c r="D4" s="39"/>
    </row>
    <row r="5" customFormat="false" ht="16.5" hidden="false" customHeight="true" outlineLevel="0" collapsed="false">
      <c r="A5" s="4" t="s">
        <v>1250</v>
      </c>
      <c r="B5" s="4" t="s">
        <v>122</v>
      </c>
      <c r="C5" s="4" t="s">
        <v>1062</v>
      </c>
      <c r="D5" s="4"/>
    </row>
    <row r="6" customFormat="false" ht="30" hidden="false" customHeight="true" outlineLevel="0" collapsed="false">
      <c r="A6" s="5" t="s">
        <v>1446</v>
      </c>
      <c r="B6" s="5" t="s">
        <v>1447</v>
      </c>
      <c r="C6" s="5" t="s">
        <v>1448</v>
      </c>
      <c r="D6" s="5"/>
    </row>
    <row r="7" customFormat="false" ht="43.5" hidden="false" customHeight="true" outlineLevel="0" collapsed="false">
      <c r="A7" s="5" t="s">
        <v>1449</v>
      </c>
      <c r="B7" s="5" t="s">
        <v>1450</v>
      </c>
      <c r="C7" s="5" t="s">
        <v>1451</v>
      </c>
      <c r="D7" s="5"/>
    </row>
    <row r="8" customFormat="false" ht="96" hidden="false" customHeight="true" outlineLevel="0" collapsed="false">
      <c r="A8" s="5" t="s">
        <v>1452</v>
      </c>
      <c r="B8" s="5" t="s">
        <v>1453</v>
      </c>
      <c r="C8" s="5" t="s">
        <v>1454</v>
      </c>
      <c r="D8" s="5"/>
    </row>
    <row r="9" customFormat="false" ht="7.5" hidden="false" customHeight="true" outlineLevel="0" collapsed="false"/>
    <row r="10" customFormat="false" ht="18" hidden="false" customHeight="true" outlineLevel="0" collapsed="false">
      <c r="A10" s="39" t="s">
        <v>1455</v>
      </c>
      <c r="B10" s="39"/>
      <c r="C10" s="39"/>
      <c r="D10" s="39"/>
    </row>
    <row r="11" customFormat="false" ht="16.5" hidden="false" customHeight="true" outlineLevel="0" collapsed="false">
      <c r="A11" s="4" t="s">
        <v>122</v>
      </c>
      <c r="B11" s="4" t="s">
        <v>1456</v>
      </c>
      <c r="C11" s="4"/>
      <c r="D11" s="4"/>
    </row>
    <row r="12" customFormat="false" ht="16.5" hidden="false" customHeight="true" outlineLevel="0" collapsed="false">
      <c r="A12" s="5" t="s">
        <v>1446</v>
      </c>
      <c r="B12" s="5" t="s">
        <v>1457</v>
      </c>
      <c r="C12" s="5"/>
      <c r="D12" s="5"/>
    </row>
    <row r="13" customFormat="false" ht="56.25" hidden="false" customHeight="true" outlineLevel="0" collapsed="false">
      <c r="A13" s="5" t="s">
        <v>1458</v>
      </c>
      <c r="B13" s="5" t="s">
        <v>1459</v>
      </c>
      <c r="C13" s="5"/>
      <c r="D13" s="5"/>
    </row>
    <row r="14" customFormat="false" ht="7.5" hidden="false" customHeight="true" outlineLevel="0" collapsed="false"/>
    <row r="15" customFormat="false" ht="30" hidden="false" customHeight="true" outlineLevel="0" collapsed="false">
      <c r="A15" s="10" t="s">
        <v>1460</v>
      </c>
      <c r="B15" s="10"/>
      <c r="C15" s="10"/>
      <c r="D15" s="10"/>
    </row>
    <row r="16" customFormat="false" ht="7.5" hidden="false" customHeight="true" outlineLevel="0" collapsed="false"/>
    <row r="17" customFormat="false" ht="18" hidden="false" customHeight="true" outlineLevel="0" collapsed="false">
      <c r="A17" s="39" t="s">
        <v>1461</v>
      </c>
      <c r="B17" s="39"/>
      <c r="C17" s="39"/>
      <c r="D17" s="39"/>
    </row>
    <row r="18" customFormat="false" ht="16.5" hidden="false" customHeight="true" outlineLevel="0" collapsed="false">
      <c r="A18" s="4" t="s">
        <v>122</v>
      </c>
      <c r="B18" s="4" t="s">
        <v>1456</v>
      </c>
      <c r="C18" s="4"/>
      <c r="D18" s="4"/>
    </row>
    <row r="19" customFormat="false" ht="16.5" hidden="false" customHeight="true" outlineLevel="0" collapsed="false">
      <c r="A19" s="5" t="s">
        <v>1446</v>
      </c>
      <c r="B19" s="5" t="s">
        <v>1462</v>
      </c>
      <c r="C19" s="5"/>
      <c r="D19" s="5"/>
    </row>
    <row r="20" customFormat="false" ht="43.5" hidden="false" customHeight="true" outlineLevel="0" collapsed="false">
      <c r="A20" s="5" t="s">
        <v>1463</v>
      </c>
      <c r="B20" s="5" t="s">
        <v>1464</v>
      </c>
      <c r="C20" s="5"/>
      <c r="D20" s="5"/>
    </row>
    <row r="21" customFormat="false" ht="30" hidden="false" customHeight="true" outlineLevel="0" collapsed="false">
      <c r="A21" s="5" t="s">
        <v>1465</v>
      </c>
      <c r="B21" s="5" t="s">
        <v>1466</v>
      </c>
      <c r="C21" s="5"/>
      <c r="D21" s="5"/>
    </row>
    <row r="22" customFormat="false" ht="30" hidden="false" customHeight="true" outlineLevel="0" collapsed="false">
      <c r="A22" s="5" t="s">
        <v>1467</v>
      </c>
      <c r="B22" s="5" t="s">
        <v>1468</v>
      </c>
      <c r="C22" s="5"/>
      <c r="D22" s="5"/>
    </row>
    <row r="23" customFormat="false" ht="7.5" hidden="false" customHeight="true" outlineLevel="0" collapsed="false"/>
    <row r="24" customFormat="false" ht="16.5" hidden="false" customHeight="true" outlineLevel="0" collapsed="false">
      <c r="A24" s="7" t="s">
        <v>86</v>
      </c>
      <c r="B24" s="7"/>
      <c r="C24" s="7"/>
      <c r="D24" s="7"/>
    </row>
    <row r="25" customFormat="false" ht="16.5" hidden="false" customHeight="true" outlineLevel="0" collapsed="false">
      <c r="A25" s="8" t="s">
        <v>1469</v>
      </c>
      <c r="B25" s="8"/>
      <c r="C25" s="8"/>
      <c r="D25" s="8"/>
    </row>
    <row r="26" customFormat="false" ht="16.5" hidden="false" customHeight="true" outlineLevel="0" collapsed="false">
      <c r="A26" s="8" t="s">
        <v>1470</v>
      </c>
      <c r="B26" s="8"/>
      <c r="C26" s="8"/>
      <c r="D26" s="8"/>
    </row>
    <row r="27" customFormat="false" ht="16.5" hidden="false" customHeight="true" outlineLevel="0" collapsed="false">
      <c r="A27" s="8" t="s">
        <v>1471</v>
      </c>
      <c r="B27" s="8"/>
      <c r="C27" s="8"/>
      <c r="D27" s="8"/>
    </row>
    <row r="28" customFormat="false" ht="16.5" hidden="false" customHeight="true" outlineLevel="0" collapsed="false">
      <c r="A28" s="8" t="s">
        <v>1472</v>
      </c>
      <c r="B28" s="8"/>
      <c r="C28" s="8"/>
      <c r="D28" s="8"/>
    </row>
    <row r="29" customFormat="false" ht="16.5" hidden="false" customHeight="true" outlineLevel="0" collapsed="false">
      <c r="A29" s="8" t="s">
        <v>1473</v>
      </c>
      <c r="B29" s="8"/>
      <c r="C29" s="8"/>
      <c r="D29" s="8"/>
    </row>
    <row r="30" customFormat="false" ht="7.5" hidden="false" customHeight="true" outlineLevel="0" collapsed="false"/>
  </sheetData>
  <mergeCells count="24">
    <mergeCell ref="A1:D1"/>
    <mergeCell ref="A2:D2"/>
    <mergeCell ref="A4:D4"/>
    <mergeCell ref="C5:D5"/>
    <mergeCell ref="C6:D6"/>
    <mergeCell ref="C7:D7"/>
    <mergeCell ref="C8:D8"/>
    <mergeCell ref="A10:D10"/>
    <mergeCell ref="B11:D11"/>
    <mergeCell ref="B12:D12"/>
    <mergeCell ref="B13:D13"/>
    <mergeCell ref="A15:D15"/>
    <mergeCell ref="A17:D17"/>
    <mergeCell ref="B18:D18"/>
    <mergeCell ref="B19:D19"/>
    <mergeCell ref="B20:D20"/>
    <mergeCell ref="B21:D21"/>
    <mergeCell ref="B22:D22"/>
    <mergeCell ref="A24:D24"/>
    <mergeCell ref="A25:D25"/>
    <mergeCell ref="A26:D26"/>
    <mergeCell ref="A27:D27"/>
    <mergeCell ref="A28:D28"/>
    <mergeCell ref="A29:D2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D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38"/>
  </cols>
  <sheetData>
    <row r="1" customFormat="false" ht="30" hidden="false" customHeight="true" outlineLevel="0" collapsed="false">
      <c r="A1" s="36" t="s">
        <v>1474</v>
      </c>
      <c r="B1" s="36"/>
      <c r="C1" s="36"/>
      <c r="D1" s="36"/>
    </row>
    <row r="2" customFormat="false" ht="33" hidden="false" customHeight="true" outlineLevel="0" collapsed="false">
      <c r="A2" s="2" t="s">
        <v>1475</v>
      </c>
      <c r="B2" s="2"/>
      <c r="C2" s="2"/>
      <c r="D2" s="2"/>
    </row>
    <row r="3" customFormat="false" ht="7.5" hidden="false" customHeight="true" outlineLevel="0" collapsed="false"/>
    <row r="4" customFormat="false" ht="18" hidden="false" customHeight="true" outlineLevel="0" collapsed="false">
      <c r="A4" s="37" t="s">
        <v>1476</v>
      </c>
      <c r="B4" s="37"/>
      <c r="C4" s="37"/>
      <c r="D4" s="37"/>
    </row>
    <row r="5" customFormat="false" ht="16.5" hidden="false" customHeight="true" outlineLevel="0" collapsed="false">
      <c r="A5" s="4" t="s">
        <v>996</v>
      </c>
      <c r="B5" s="4" t="s">
        <v>1477</v>
      </c>
      <c r="C5" s="4" t="s">
        <v>1478</v>
      </c>
      <c r="D5" s="4"/>
    </row>
    <row r="6" customFormat="false" ht="43.5" hidden="false" customHeight="true" outlineLevel="0" collapsed="false">
      <c r="A6" s="5" t="s">
        <v>1000</v>
      </c>
      <c r="B6" s="5" t="s">
        <v>1479</v>
      </c>
      <c r="C6" s="5" t="s">
        <v>1480</v>
      </c>
      <c r="D6" s="5"/>
    </row>
    <row r="7" customFormat="false" ht="30" hidden="false" customHeight="true" outlineLevel="0" collapsed="false">
      <c r="A7" s="5" t="s">
        <v>1004</v>
      </c>
      <c r="B7" s="5" t="s">
        <v>1481</v>
      </c>
      <c r="C7" s="5" t="s">
        <v>1482</v>
      </c>
      <c r="D7" s="5"/>
    </row>
    <row r="8" customFormat="false" ht="16.5" hidden="false" customHeight="true" outlineLevel="0" collapsed="false">
      <c r="A8" s="5" t="s">
        <v>1008</v>
      </c>
      <c r="B8" s="5" t="s">
        <v>1483</v>
      </c>
      <c r="C8" s="5" t="s">
        <v>1484</v>
      </c>
      <c r="D8" s="5"/>
    </row>
    <row r="9" customFormat="false" ht="16.5" hidden="false" customHeight="true" outlineLevel="0" collapsed="false">
      <c r="A9" s="5" t="s">
        <v>1012</v>
      </c>
      <c r="B9" s="5" t="s">
        <v>1485</v>
      </c>
      <c r="C9" s="5" t="s">
        <v>1486</v>
      </c>
      <c r="D9" s="5"/>
    </row>
    <row r="10" customFormat="false" ht="16.5" hidden="false" customHeight="true" outlineLevel="0" collapsed="false">
      <c r="A10" s="5" t="s">
        <v>1016</v>
      </c>
      <c r="B10" s="5" t="s">
        <v>1487</v>
      </c>
      <c r="C10" s="5" t="s">
        <v>1488</v>
      </c>
      <c r="D10" s="5"/>
    </row>
    <row r="11" customFormat="false" ht="16.5" hidden="false" customHeight="true" outlineLevel="0" collapsed="false">
      <c r="A11" s="5" t="s">
        <v>1020</v>
      </c>
      <c r="B11" s="5" t="s">
        <v>1489</v>
      </c>
      <c r="C11" s="5" t="s">
        <v>1490</v>
      </c>
      <c r="D11" s="5"/>
    </row>
    <row r="12" customFormat="false" ht="16.5" hidden="false" customHeight="true" outlineLevel="0" collapsed="false">
      <c r="A12" s="5" t="s">
        <v>1024</v>
      </c>
      <c r="B12" s="5" t="s">
        <v>703</v>
      </c>
      <c r="C12" s="5" t="s">
        <v>1491</v>
      </c>
      <c r="D12" s="5"/>
    </row>
    <row r="13" customFormat="false" ht="16.5" hidden="false" customHeight="true" outlineLevel="0" collapsed="false">
      <c r="A13" s="5" t="s">
        <v>1028</v>
      </c>
      <c r="B13" s="5" t="s">
        <v>1492</v>
      </c>
      <c r="C13" s="5" t="s">
        <v>1493</v>
      </c>
      <c r="D13" s="5"/>
    </row>
    <row r="14" customFormat="false" ht="16.5" hidden="false" customHeight="true" outlineLevel="0" collapsed="false">
      <c r="A14" s="5" t="s">
        <v>1032</v>
      </c>
      <c r="B14" s="5" t="s">
        <v>1494</v>
      </c>
      <c r="C14" s="5" t="s">
        <v>1495</v>
      </c>
      <c r="D14" s="5"/>
    </row>
    <row r="15" customFormat="false" ht="16.5" hidden="false" customHeight="true" outlineLevel="0" collapsed="false">
      <c r="A15" s="5" t="s">
        <v>1036</v>
      </c>
      <c r="B15" s="5" t="s">
        <v>1496</v>
      </c>
      <c r="C15" s="5" t="s">
        <v>1497</v>
      </c>
      <c r="D15" s="5"/>
    </row>
    <row r="16" customFormat="false" ht="43.5" hidden="false" customHeight="true" outlineLevel="0" collapsed="false">
      <c r="A16" s="5" t="s">
        <v>1040</v>
      </c>
      <c r="B16" s="5" t="s">
        <v>1498</v>
      </c>
      <c r="C16" s="5" t="s">
        <v>1499</v>
      </c>
      <c r="D16" s="5"/>
    </row>
    <row r="17" customFormat="false" ht="7.5" hidden="false" customHeight="true" outlineLevel="0" collapsed="false"/>
    <row r="18" customFormat="false" ht="30" hidden="false" customHeight="true" outlineLevel="0" collapsed="false">
      <c r="A18" s="10" t="s">
        <v>1500</v>
      </c>
      <c r="B18" s="10"/>
      <c r="C18" s="10"/>
      <c r="D18" s="10"/>
    </row>
    <row r="19" customFormat="false" ht="7.5" hidden="false" customHeight="true" outlineLevel="0" collapsed="false"/>
    <row r="20" customFormat="false" ht="18" hidden="false" customHeight="true" outlineLevel="0" collapsed="false">
      <c r="A20" s="37" t="s">
        <v>1501</v>
      </c>
      <c r="B20" s="37"/>
      <c r="C20" s="37"/>
      <c r="D20" s="37"/>
    </row>
    <row r="21" customFormat="false" ht="16.5" hidden="false" customHeight="true" outlineLevel="0" collapsed="false">
      <c r="A21" s="4" t="s">
        <v>205</v>
      </c>
      <c r="B21" s="4" t="s">
        <v>1502</v>
      </c>
      <c r="C21" s="4" t="s">
        <v>1503</v>
      </c>
      <c r="D21" s="4"/>
    </row>
    <row r="22" customFormat="false" ht="16.5" hidden="false" customHeight="true" outlineLevel="0" collapsed="false">
      <c r="A22" s="5" t="s">
        <v>1504</v>
      </c>
      <c r="B22" s="5" t="s">
        <v>1291</v>
      </c>
      <c r="C22" s="5" t="s">
        <v>1291</v>
      </c>
      <c r="D22" s="5"/>
    </row>
    <row r="23" customFormat="false" ht="16.5" hidden="false" customHeight="true" outlineLevel="0" collapsed="false">
      <c r="A23" s="5" t="s">
        <v>151</v>
      </c>
      <c r="B23" s="5" t="s">
        <v>211</v>
      </c>
      <c r="C23" s="5" t="s">
        <v>1291</v>
      </c>
      <c r="D23" s="5"/>
    </row>
    <row r="24" customFormat="false" ht="30" hidden="false" customHeight="true" outlineLevel="0" collapsed="false">
      <c r="A24" s="5" t="s">
        <v>1505</v>
      </c>
      <c r="B24" s="5" t="s">
        <v>247</v>
      </c>
      <c r="C24" s="5" t="s">
        <v>1336</v>
      </c>
      <c r="D24" s="5"/>
    </row>
    <row r="25" customFormat="false" ht="30" hidden="false" customHeight="true" outlineLevel="0" collapsed="false">
      <c r="A25" s="5" t="s">
        <v>156</v>
      </c>
      <c r="B25" s="5" t="s">
        <v>211</v>
      </c>
      <c r="C25" s="5" t="s">
        <v>1336</v>
      </c>
      <c r="D25" s="5"/>
    </row>
    <row r="26" customFormat="false" ht="16.5" hidden="false" customHeight="true" outlineLevel="0" collapsed="false">
      <c r="A26" s="5" t="s">
        <v>157</v>
      </c>
      <c r="B26" s="5" t="s">
        <v>211</v>
      </c>
      <c r="C26" s="5" t="s">
        <v>1291</v>
      </c>
      <c r="D26" s="5"/>
    </row>
    <row r="27" customFormat="false" ht="7.5" hidden="false" customHeight="true" outlineLevel="0" collapsed="false"/>
    <row r="28" customFormat="false" ht="18" hidden="false" customHeight="true" outlineLevel="0" collapsed="false">
      <c r="A28" s="37" t="s">
        <v>1506</v>
      </c>
      <c r="B28" s="37"/>
      <c r="C28" s="37"/>
      <c r="D28" s="37"/>
    </row>
    <row r="29" customFormat="false" ht="16.5" hidden="false" customHeight="true" outlineLevel="0" collapsed="false">
      <c r="A29" s="4" t="s">
        <v>1507</v>
      </c>
      <c r="B29" s="4" t="s">
        <v>1456</v>
      </c>
      <c r="C29" s="4" t="s">
        <v>1508</v>
      </c>
      <c r="D29" s="4"/>
    </row>
    <row r="30" customFormat="false" ht="30" hidden="false" customHeight="true" outlineLevel="0" collapsed="false">
      <c r="A30" s="5" t="s">
        <v>1509</v>
      </c>
      <c r="B30" s="9" t="s">
        <v>1510</v>
      </c>
      <c r="C30" s="5" t="s">
        <v>1511</v>
      </c>
      <c r="D30" s="5"/>
    </row>
    <row r="31" customFormat="false" ht="56.25" hidden="false" customHeight="true" outlineLevel="0" collapsed="false">
      <c r="A31" s="5" t="s">
        <v>1512</v>
      </c>
      <c r="B31" s="9" t="s">
        <v>1513</v>
      </c>
      <c r="C31" s="5" t="s">
        <v>1514</v>
      </c>
      <c r="D31" s="5"/>
    </row>
    <row r="32" customFormat="false" ht="30" hidden="false" customHeight="true" outlineLevel="0" collapsed="false">
      <c r="A32" s="5" t="s">
        <v>1515</v>
      </c>
      <c r="B32" s="9" t="s">
        <v>1516</v>
      </c>
      <c r="C32" s="5" t="s">
        <v>1517</v>
      </c>
      <c r="D32" s="5"/>
    </row>
    <row r="33" customFormat="false" ht="56.25" hidden="false" customHeight="true" outlineLevel="0" collapsed="false">
      <c r="A33" s="5" t="s">
        <v>1518</v>
      </c>
      <c r="B33" s="9" t="s">
        <v>1519</v>
      </c>
      <c r="C33" s="5"/>
      <c r="D33" s="5"/>
    </row>
    <row r="34" customFormat="false" ht="16.5" hidden="false" customHeight="true" outlineLevel="0" collapsed="false">
      <c r="A34" s="5" t="s">
        <v>1520</v>
      </c>
      <c r="B34" s="9"/>
      <c r="C34" s="5"/>
      <c r="D34" s="5"/>
    </row>
    <row r="35" customFormat="false" ht="188.25" hidden="false" customHeight="true" outlineLevel="0" collapsed="false">
      <c r="A35" s="5" t="s">
        <v>1521</v>
      </c>
      <c r="B35" s="9" t="s">
        <v>1522</v>
      </c>
      <c r="C35" s="5" t="s">
        <v>1523</v>
      </c>
      <c r="D35" s="5"/>
    </row>
    <row r="36" customFormat="false" ht="267.75" hidden="false" customHeight="true" outlineLevel="0" collapsed="false">
      <c r="A36" s="5" t="s">
        <v>1524</v>
      </c>
      <c r="B36" s="9" t="s">
        <v>1525</v>
      </c>
      <c r="C36" s="5" t="s">
        <v>1526</v>
      </c>
      <c r="D36" s="5"/>
    </row>
    <row r="37" customFormat="false" ht="214.5" hidden="false" customHeight="true" outlineLevel="0" collapsed="false">
      <c r="A37" s="5" t="s">
        <v>1527</v>
      </c>
      <c r="B37" s="9" t="s">
        <v>1528</v>
      </c>
      <c r="C37" s="5" t="s">
        <v>1529</v>
      </c>
      <c r="D37" s="5"/>
    </row>
    <row r="38" customFormat="false" ht="7.5" hidden="false" customHeight="true" outlineLevel="0" collapsed="false"/>
    <row r="39" customFormat="false" ht="30" hidden="false" customHeight="true" outlineLevel="0" collapsed="false">
      <c r="A39" s="10" t="s">
        <v>1530</v>
      </c>
      <c r="B39" s="10"/>
      <c r="C39" s="10"/>
      <c r="D39" s="10"/>
    </row>
    <row r="40" customFormat="false" ht="7.5" hidden="false" customHeight="true" outlineLevel="0" collapsed="false"/>
    <row r="41" customFormat="false" ht="16.5" hidden="false" customHeight="true" outlineLevel="0" collapsed="false">
      <c r="A41" s="7" t="s">
        <v>86</v>
      </c>
      <c r="B41" s="7"/>
      <c r="C41" s="7"/>
      <c r="D41" s="7"/>
    </row>
    <row r="42" customFormat="false" ht="16.5" hidden="false" customHeight="true" outlineLevel="0" collapsed="false">
      <c r="A42" s="8" t="s">
        <v>1531</v>
      </c>
      <c r="B42" s="8"/>
      <c r="C42" s="8"/>
      <c r="D42" s="8"/>
    </row>
    <row r="43" customFormat="false" ht="16.5" hidden="false" customHeight="true" outlineLevel="0" collapsed="false">
      <c r="A43" s="8" t="s">
        <v>1532</v>
      </c>
      <c r="B43" s="8"/>
      <c r="C43" s="8"/>
      <c r="D43" s="8"/>
    </row>
    <row r="44" customFormat="false" ht="16.5" hidden="false" customHeight="true" outlineLevel="0" collapsed="false">
      <c r="A44" s="8" t="s">
        <v>1533</v>
      </c>
      <c r="B44" s="8"/>
      <c r="C44" s="8"/>
      <c r="D44" s="8"/>
    </row>
    <row r="45" customFormat="false" ht="16.5" hidden="false" customHeight="true" outlineLevel="0" collapsed="false">
      <c r="A45" s="8" t="s">
        <v>1534</v>
      </c>
      <c r="B45" s="8"/>
      <c r="C45" s="8"/>
      <c r="D45" s="8"/>
    </row>
    <row r="46" customFormat="false" ht="16.5" hidden="false" customHeight="true" outlineLevel="0" collapsed="false">
      <c r="A46" s="8" t="s">
        <v>1535</v>
      </c>
      <c r="B46" s="8"/>
      <c r="C46" s="8"/>
      <c r="D46" s="8"/>
    </row>
    <row r="47" customFormat="false" ht="7.5" hidden="false" customHeight="true" outlineLevel="0" collapsed="false"/>
  </sheetData>
  <mergeCells count="40">
    <mergeCell ref="A1:D1"/>
    <mergeCell ref="A2:D2"/>
    <mergeCell ref="A4:D4"/>
    <mergeCell ref="C5:D5"/>
    <mergeCell ref="C6:D6"/>
    <mergeCell ref="C7:D7"/>
    <mergeCell ref="C8:D8"/>
    <mergeCell ref="C9:D9"/>
    <mergeCell ref="C10:D10"/>
    <mergeCell ref="C11:D11"/>
    <mergeCell ref="C12:D12"/>
    <mergeCell ref="C13:D13"/>
    <mergeCell ref="C14:D14"/>
    <mergeCell ref="C15:D15"/>
    <mergeCell ref="C16:D16"/>
    <mergeCell ref="A18:D18"/>
    <mergeCell ref="A20:D20"/>
    <mergeCell ref="C21:D21"/>
    <mergeCell ref="C22:D22"/>
    <mergeCell ref="C23:D23"/>
    <mergeCell ref="C24:D24"/>
    <mergeCell ref="C25:D25"/>
    <mergeCell ref="C26:D26"/>
    <mergeCell ref="A28:D28"/>
    <mergeCell ref="C29:D29"/>
    <mergeCell ref="C30:D30"/>
    <mergeCell ref="C31:D31"/>
    <mergeCell ref="C32:D32"/>
    <mergeCell ref="C33:D33"/>
    <mergeCell ref="C34:D34"/>
    <mergeCell ref="C35:D35"/>
    <mergeCell ref="C36:D36"/>
    <mergeCell ref="C37:D37"/>
    <mergeCell ref="A39:D39"/>
    <mergeCell ref="A41:D41"/>
    <mergeCell ref="A42:D42"/>
    <mergeCell ref="A43:D43"/>
    <mergeCell ref="A44:D44"/>
    <mergeCell ref="A45:D45"/>
    <mergeCell ref="A46:D4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D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38"/>
  </cols>
  <sheetData>
    <row r="1" customFormat="false" ht="30" hidden="false" customHeight="true" outlineLevel="0" collapsed="false">
      <c r="A1" s="36" t="s">
        <v>1536</v>
      </c>
      <c r="B1" s="36"/>
      <c r="C1" s="36"/>
      <c r="D1" s="36"/>
    </row>
    <row r="2" customFormat="false" ht="47.25" hidden="false" customHeight="true" outlineLevel="0" collapsed="false">
      <c r="A2" s="2" t="s">
        <v>1537</v>
      </c>
      <c r="B2" s="2"/>
      <c r="C2" s="2"/>
      <c r="D2" s="2"/>
    </row>
    <row r="3" customFormat="false" ht="7.5" hidden="false" customHeight="true" outlineLevel="0" collapsed="false"/>
    <row r="4" customFormat="false" ht="18" hidden="false" customHeight="true" outlineLevel="0" collapsed="false">
      <c r="A4" s="37" t="s">
        <v>1538</v>
      </c>
      <c r="B4" s="37"/>
      <c r="C4" s="37"/>
      <c r="D4" s="37"/>
    </row>
    <row r="5" customFormat="false" ht="16.5" hidden="false" customHeight="true" outlineLevel="0" collapsed="false">
      <c r="A5" s="4" t="s">
        <v>1539</v>
      </c>
      <c r="B5" s="4" t="s">
        <v>1430</v>
      </c>
      <c r="C5" s="4" t="s">
        <v>1540</v>
      </c>
      <c r="D5" s="4"/>
    </row>
    <row r="6" customFormat="false" ht="16.5" hidden="false" customHeight="true" outlineLevel="0" collapsed="false">
      <c r="A6" s="5" t="s">
        <v>1541</v>
      </c>
      <c r="B6" s="5" t="s">
        <v>1542</v>
      </c>
      <c r="C6" s="5" t="s">
        <v>1543</v>
      </c>
      <c r="D6" s="5"/>
    </row>
    <row r="7" customFormat="false" ht="16.5" hidden="false" customHeight="true" outlineLevel="0" collapsed="false">
      <c r="A7" s="5" t="s">
        <v>1148</v>
      </c>
      <c r="B7" s="5" t="s">
        <v>1544</v>
      </c>
      <c r="C7" s="5" t="s">
        <v>1545</v>
      </c>
      <c r="D7" s="5"/>
    </row>
    <row r="8" customFormat="false" ht="30" hidden="false" customHeight="true" outlineLevel="0" collapsed="false">
      <c r="A8" s="5" t="s">
        <v>1546</v>
      </c>
      <c r="B8" s="5" t="s">
        <v>1547</v>
      </c>
      <c r="C8" s="5" t="s">
        <v>1548</v>
      </c>
      <c r="D8" s="5"/>
    </row>
    <row r="9" customFormat="false" ht="30" hidden="false" customHeight="true" outlineLevel="0" collapsed="false">
      <c r="A9" s="5" t="s">
        <v>1157</v>
      </c>
      <c r="B9" s="5" t="s">
        <v>1549</v>
      </c>
      <c r="C9" s="5" t="s">
        <v>1550</v>
      </c>
      <c r="D9" s="5"/>
    </row>
    <row r="10" customFormat="false" ht="30" hidden="false" customHeight="true" outlineLevel="0" collapsed="false">
      <c r="A10" s="5" t="s">
        <v>1154</v>
      </c>
      <c r="B10" s="5" t="s">
        <v>1551</v>
      </c>
      <c r="C10" s="5" t="s">
        <v>1552</v>
      </c>
      <c r="D10" s="5"/>
    </row>
    <row r="11" customFormat="false" ht="7.5" hidden="false" customHeight="true" outlineLevel="0" collapsed="false"/>
    <row r="12" customFormat="false" ht="30" hidden="false" customHeight="true" outlineLevel="0" collapsed="false">
      <c r="A12" s="35" t="s">
        <v>1553</v>
      </c>
      <c r="B12" s="35"/>
      <c r="C12" s="35"/>
      <c r="D12" s="35"/>
    </row>
    <row r="13" customFormat="false" ht="7.5" hidden="false" customHeight="true" outlineLevel="0" collapsed="false"/>
    <row r="14" customFormat="false" ht="30" hidden="false" customHeight="true" outlineLevel="0" collapsed="false">
      <c r="A14" s="6" t="s">
        <v>1554</v>
      </c>
      <c r="B14" s="6"/>
      <c r="C14" s="6"/>
      <c r="D14" s="6"/>
    </row>
    <row r="15" customFormat="false" ht="7.5" hidden="false" customHeight="true" outlineLevel="0" collapsed="false"/>
    <row r="16" customFormat="false" ht="18" hidden="false" customHeight="true" outlineLevel="0" collapsed="false">
      <c r="A16" s="37" t="s">
        <v>1555</v>
      </c>
      <c r="B16" s="37"/>
      <c r="C16" s="37"/>
      <c r="D16" s="37"/>
    </row>
    <row r="17" customFormat="false" ht="30" hidden="false" customHeight="true" outlineLevel="0" collapsed="false">
      <c r="A17" s="4" t="s">
        <v>1556</v>
      </c>
      <c r="B17" s="4" t="s">
        <v>1431</v>
      </c>
      <c r="C17" s="4"/>
      <c r="D17" s="4"/>
    </row>
    <row r="18" customFormat="false" ht="162" hidden="false" customHeight="true" outlineLevel="0" collapsed="false">
      <c r="A18" s="5" t="s">
        <v>1557</v>
      </c>
      <c r="B18" s="5" t="s">
        <v>1558</v>
      </c>
      <c r="C18" s="5"/>
      <c r="D18" s="5"/>
    </row>
    <row r="19" customFormat="false" ht="7.5" hidden="false" customHeight="true" outlineLevel="0" collapsed="false"/>
    <row r="20" customFormat="false" ht="18" hidden="false" customHeight="true" outlineLevel="0" collapsed="false">
      <c r="A20" s="37" t="s">
        <v>1559</v>
      </c>
      <c r="B20" s="37"/>
      <c r="C20" s="37"/>
      <c r="D20" s="37"/>
    </row>
    <row r="21" customFormat="false" ht="16.5" hidden="false" customHeight="true" outlineLevel="0" collapsed="false">
      <c r="A21" s="4" t="s">
        <v>122</v>
      </c>
      <c r="B21" s="4" t="s">
        <v>1456</v>
      </c>
      <c r="C21" s="4" t="s">
        <v>1431</v>
      </c>
      <c r="D21" s="4"/>
    </row>
    <row r="22" customFormat="false" ht="30" hidden="false" customHeight="true" outlineLevel="0" collapsed="false">
      <c r="A22" s="5" t="s">
        <v>1296</v>
      </c>
      <c r="B22" s="5" t="s">
        <v>1560</v>
      </c>
      <c r="C22" s="5" t="s">
        <v>1561</v>
      </c>
      <c r="D22" s="5"/>
    </row>
    <row r="23" customFormat="false" ht="82.5" hidden="false" customHeight="true" outlineLevel="0" collapsed="false">
      <c r="A23" s="5" t="s">
        <v>1562</v>
      </c>
      <c r="B23" s="5" t="s">
        <v>1563</v>
      </c>
      <c r="C23" s="5" t="s">
        <v>1564</v>
      </c>
      <c r="D23" s="5"/>
    </row>
    <row r="24" customFormat="false" ht="43.5" hidden="false" customHeight="true" outlineLevel="0" collapsed="false">
      <c r="A24" s="5" t="s">
        <v>1565</v>
      </c>
      <c r="B24" s="5" t="s">
        <v>1566</v>
      </c>
      <c r="C24" s="5" t="s">
        <v>1567</v>
      </c>
      <c r="D24" s="5"/>
    </row>
    <row r="25" customFormat="false" ht="69.75" hidden="false" customHeight="true" outlineLevel="0" collapsed="false">
      <c r="A25" s="5" t="s">
        <v>1568</v>
      </c>
      <c r="B25" s="5" t="s">
        <v>1569</v>
      </c>
      <c r="C25" s="5" t="s">
        <v>1570</v>
      </c>
      <c r="D25" s="5"/>
    </row>
    <row r="26" customFormat="false" ht="7.5" hidden="false" customHeight="true" outlineLevel="0" collapsed="false"/>
    <row r="27" customFormat="false" ht="18" hidden="false" customHeight="true" outlineLevel="0" collapsed="false">
      <c r="A27" s="37" t="s">
        <v>1571</v>
      </c>
      <c r="B27" s="37"/>
      <c r="C27" s="37"/>
      <c r="D27" s="37"/>
    </row>
    <row r="28" customFormat="false" ht="16.5" hidden="false" customHeight="true" outlineLevel="0" collapsed="false">
      <c r="A28" s="4" t="s">
        <v>1572</v>
      </c>
      <c r="B28" s="4" t="s">
        <v>1431</v>
      </c>
      <c r="C28" s="4"/>
      <c r="D28" s="4"/>
    </row>
    <row r="29" customFormat="false" ht="135.75" hidden="false" customHeight="true" outlineLevel="0" collapsed="false">
      <c r="A29" s="5" t="s">
        <v>1573</v>
      </c>
      <c r="B29" s="5" t="s">
        <v>1574</v>
      </c>
      <c r="C29" s="5"/>
      <c r="D29" s="5"/>
    </row>
    <row r="30" customFormat="false" ht="7.5" hidden="false" customHeight="true" outlineLevel="0" collapsed="false"/>
    <row r="31" customFormat="false" ht="16.5" hidden="false" customHeight="true" outlineLevel="0" collapsed="false">
      <c r="A31" s="4" t="s">
        <v>1575</v>
      </c>
      <c r="B31" s="4" t="s">
        <v>1576</v>
      </c>
      <c r="C31" s="4"/>
      <c r="D31" s="4"/>
    </row>
    <row r="32" customFormat="false" ht="43.5" hidden="false" customHeight="true" outlineLevel="0" collapsed="false">
      <c r="A32" s="5" t="s">
        <v>1577</v>
      </c>
      <c r="B32" s="5" t="s">
        <v>1578</v>
      </c>
      <c r="C32" s="5"/>
      <c r="D32" s="5"/>
    </row>
    <row r="33" customFormat="false" ht="16.5" hidden="false" customHeight="true" outlineLevel="0" collapsed="false">
      <c r="A33" s="5" t="s">
        <v>1579</v>
      </c>
      <c r="B33" s="5" t="s">
        <v>1580</v>
      </c>
      <c r="C33" s="5"/>
      <c r="D33" s="5"/>
    </row>
    <row r="34" customFormat="false" ht="69.75" hidden="false" customHeight="true" outlineLevel="0" collapsed="false">
      <c r="A34" s="5" t="s">
        <v>1581</v>
      </c>
      <c r="B34" s="5" t="s">
        <v>1582</v>
      </c>
      <c r="C34" s="5"/>
      <c r="D34" s="5"/>
    </row>
    <row r="35" customFormat="false" ht="56.25" hidden="false" customHeight="true" outlineLevel="0" collapsed="false">
      <c r="A35" s="5" t="s">
        <v>1583</v>
      </c>
      <c r="B35" s="5" t="s">
        <v>1584</v>
      </c>
      <c r="C35" s="5"/>
      <c r="D35" s="5"/>
    </row>
    <row r="36" customFormat="false" ht="7.5" hidden="false" customHeight="true" outlineLevel="0" collapsed="false"/>
    <row r="37" customFormat="false" ht="16.5" hidden="false" customHeight="true" outlineLevel="0" collapsed="false">
      <c r="A37" s="4" t="s">
        <v>1585</v>
      </c>
      <c r="B37" s="4" t="s">
        <v>1576</v>
      </c>
      <c r="C37" s="4"/>
      <c r="D37" s="4"/>
    </row>
    <row r="38" customFormat="false" ht="43.5" hidden="false" customHeight="true" outlineLevel="0" collapsed="false">
      <c r="A38" s="5" t="s">
        <v>1586</v>
      </c>
      <c r="B38" s="5" t="s">
        <v>1587</v>
      </c>
      <c r="C38" s="5"/>
      <c r="D38" s="5"/>
    </row>
    <row r="39" customFormat="false" ht="30" hidden="false" customHeight="true" outlineLevel="0" collapsed="false">
      <c r="A39" s="5" t="s">
        <v>1588</v>
      </c>
      <c r="B39" s="5" t="s">
        <v>1589</v>
      </c>
      <c r="C39" s="5"/>
      <c r="D39" s="5"/>
    </row>
    <row r="40" customFormat="false" ht="30" hidden="false" customHeight="true" outlineLevel="0" collapsed="false">
      <c r="A40" s="5" t="s">
        <v>1590</v>
      </c>
      <c r="B40" s="5" t="s">
        <v>1591</v>
      </c>
      <c r="C40" s="5"/>
      <c r="D40" s="5"/>
    </row>
    <row r="41" customFormat="false" ht="7.5" hidden="false" customHeight="true" outlineLevel="0" collapsed="false"/>
    <row r="42" customFormat="false" ht="30" hidden="false" customHeight="true" outlineLevel="0" collapsed="false">
      <c r="A42" s="10" t="s">
        <v>1592</v>
      </c>
      <c r="B42" s="10"/>
      <c r="C42" s="10"/>
      <c r="D42" s="10"/>
    </row>
    <row r="43" customFormat="false" ht="7.5" hidden="false" customHeight="true" outlineLevel="0" collapsed="false"/>
    <row r="44" customFormat="false" ht="18" hidden="false" customHeight="true" outlineLevel="0" collapsed="false">
      <c r="A44" s="37" t="s">
        <v>1593</v>
      </c>
      <c r="B44" s="37"/>
      <c r="C44" s="37"/>
      <c r="D44" s="37"/>
    </row>
    <row r="45" customFormat="false" ht="16.5" hidden="false" customHeight="true" outlineLevel="0" collapsed="false">
      <c r="A45" s="4" t="s">
        <v>205</v>
      </c>
      <c r="B45" s="4" t="s">
        <v>1562</v>
      </c>
      <c r="C45" s="4"/>
      <c r="D45" s="4"/>
    </row>
    <row r="46" customFormat="false" ht="56.25" hidden="false" customHeight="true" outlineLevel="0" collapsed="false">
      <c r="A46" s="5" t="s">
        <v>1594</v>
      </c>
      <c r="B46" s="5" t="s">
        <v>1595</v>
      </c>
      <c r="C46" s="5"/>
      <c r="D46" s="5"/>
    </row>
    <row r="47" customFormat="false" ht="30" hidden="false" customHeight="true" outlineLevel="0" collapsed="false">
      <c r="A47" s="5" t="s">
        <v>1596</v>
      </c>
      <c r="B47" s="5" t="s">
        <v>1597</v>
      </c>
      <c r="C47" s="5"/>
      <c r="D47" s="5"/>
    </row>
    <row r="48" customFormat="false" ht="7.5" hidden="false" customHeight="true" outlineLevel="0" collapsed="false"/>
    <row r="49" customFormat="false" ht="18" hidden="false" customHeight="true" outlineLevel="0" collapsed="false">
      <c r="A49" s="37" t="s">
        <v>1598</v>
      </c>
      <c r="B49" s="37"/>
      <c r="C49" s="37"/>
      <c r="D49" s="37"/>
    </row>
    <row r="50" customFormat="false" ht="16.5" hidden="false" customHeight="true" outlineLevel="0" collapsed="false">
      <c r="A50" s="4" t="s">
        <v>1599</v>
      </c>
      <c r="B50" s="4" t="s">
        <v>1600</v>
      </c>
      <c r="C50" s="4"/>
      <c r="D50" s="4"/>
    </row>
    <row r="51" customFormat="false" ht="43.5" hidden="false" customHeight="true" outlineLevel="0" collapsed="false">
      <c r="A51" s="5" t="s">
        <v>737</v>
      </c>
      <c r="B51" s="5" t="s">
        <v>1601</v>
      </c>
      <c r="C51" s="5"/>
      <c r="D51" s="5"/>
    </row>
    <row r="52" customFormat="false" ht="7.5" hidden="false" customHeight="true" outlineLevel="0" collapsed="false"/>
    <row r="53" customFormat="false" ht="16.5" hidden="false" customHeight="true" outlineLevel="0" collapsed="false">
      <c r="A53" s="10" t="s">
        <v>1602</v>
      </c>
      <c r="B53" s="10"/>
      <c r="C53" s="10"/>
      <c r="D53" s="10"/>
    </row>
    <row r="54" customFormat="false" ht="7.5" hidden="false" customHeight="true" outlineLevel="0" collapsed="false"/>
    <row r="55" customFormat="false" ht="18" hidden="false" customHeight="true" outlineLevel="0" collapsed="false">
      <c r="A55" s="37" t="s">
        <v>1603</v>
      </c>
      <c r="B55" s="37"/>
      <c r="C55" s="37"/>
      <c r="D55" s="37"/>
    </row>
    <row r="56" customFormat="false" ht="16.5" hidden="false" customHeight="true" outlineLevel="0" collapsed="false">
      <c r="A56" s="4" t="s">
        <v>205</v>
      </c>
      <c r="B56" s="4" t="s">
        <v>1562</v>
      </c>
      <c r="C56" s="4"/>
      <c r="D56" s="4"/>
    </row>
    <row r="57" customFormat="false" ht="56.25" hidden="false" customHeight="true" outlineLevel="0" collapsed="false">
      <c r="A57" s="5" t="s">
        <v>1604</v>
      </c>
      <c r="B57" s="5" t="s">
        <v>1605</v>
      </c>
      <c r="C57" s="5"/>
      <c r="D57" s="5"/>
    </row>
    <row r="58" customFormat="false" ht="43.5" hidden="false" customHeight="true" outlineLevel="0" collapsed="false">
      <c r="A58" s="5" t="s">
        <v>1606</v>
      </c>
      <c r="B58" s="5" t="s">
        <v>1607</v>
      </c>
      <c r="C58" s="5"/>
      <c r="D58" s="5"/>
    </row>
    <row r="59" customFormat="false" ht="30" hidden="false" customHeight="true" outlineLevel="0" collapsed="false">
      <c r="A59" s="5" t="s">
        <v>1608</v>
      </c>
      <c r="B59" s="5" t="s">
        <v>1609</v>
      </c>
      <c r="C59" s="5"/>
      <c r="D59" s="5"/>
    </row>
    <row r="60" customFormat="false" ht="30" hidden="false" customHeight="true" outlineLevel="0" collapsed="false">
      <c r="A60" s="5" t="s">
        <v>1610</v>
      </c>
      <c r="B60" s="5" t="s">
        <v>1611</v>
      </c>
      <c r="C60" s="5"/>
      <c r="D60" s="5"/>
    </row>
    <row r="61" customFormat="false" ht="30" hidden="false" customHeight="true" outlineLevel="0" collapsed="false">
      <c r="A61" s="11" t="s">
        <v>1612</v>
      </c>
      <c r="B61" s="11" t="s">
        <v>1613</v>
      </c>
      <c r="C61" s="11"/>
      <c r="D61" s="11"/>
    </row>
    <row r="62" customFormat="false" ht="7.5" hidden="false" customHeight="true" outlineLevel="0" collapsed="false"/>
    <row r="63" customFormat="false" ht="18" hidden="false" customHeight="true" outlineLevel="0" collapsed="false">
      <c r="A63" s="37" t="s">
        <v>1614</v>
      </c>
      <c r="B63" s="37"/>
      <c r="C63" s="37"/>
      <c r="D63" s="37"/>
    </row>
    <row r="64" customFormat="false" ht="16.5" hidden="false" customHeight="true" outlineLevel="0" collapsed="false">
      <c r="A64" s="4" t="s">
        <v>205</v>
      </c>
      <c r="B64" s="4" t="s">
        <v>122</v>
      </c>
      <c r="C64" s="4"/>
      <c r="D64" s="4"/>
    </row>
    <row r="65" customFormat="false" ht="30" hidden="false" customHeight="true" outlineLevel="0" collapsed="false">
      <c r="A65" s="5" t="s">
        <v>1615</v>
      </c>
      <c r="B65" s="5" t="s">
        <v>1616</v>
      </c>
      <c r="C65" s="5"/>
      <c r="D65" s="5"/>
    </row>
    <row r="66" customFormat="false" ht="56.25" hidden="false" customHeight="true" outlineLevel="0" collapsed="false">
      <c r="A66" s="5" t="s">
        <v>1617</v>
      </c>
      <c r="B66" s="5" t="s">
        <v>1618</v>
      </c>
      <c r="C66" s="5"/>
      <c r="D66" s="5"/>
    </row>
    <row r="67" customFormat="false" ht="16.5" hidden="false" customHeight="true" outlineLevel="0" collapsed="false">
      <c r="A67" s="5" t="s">
        <v>1619</v>
      </c>
      <c r="B67" s="5" t="s">
        <v>1620</v>
      </c>
      <c r="C67" s="5"/>
      <c r="D67" s="5"/>
    </row>
    <row r="68" customFormat="false" ht="7.5" hidden="false" customHeight="true" outlineLevel="0" collapsed="false"/>
    <row r="69" customFormat="false" ht="30" hidden="false" customHeight="true" outlineLevel="0" collapsed="false">
      <c r="A69" s="10" t="s">
        <v>1621</v>
      </c>
      <c r="B69" s="10"/>
      <c r="C69" s="10"/>
      <c r="D69" s="10"/>
    </row>
    <row r="70" customFormat="false" ht="7.5" hidden="false" customHeight="true" outlineLevel="0" collapsed="false"/>
    <row r="71" customFormat="false" ht="18" hidden="false" customHeight="true" outlineLevel="0" collapsed="false">
      <c r="A71" s="37" t="s">
        <v>1622</v>
      </c>
      <c r="B71" s="37"/>
      <c r="C71" s="37"/>
      <c r="D71" s="37"/>
    </row>
    <row r="72" customFormat="false" ht="16.5" hidden="false" customHeight="true" outlineLevel="0" collapsed="false">
      <c r="A72" s="5" t="s">
        <v>1623</v>
      </c>
      <c r="B72" s="5"/>
      <c r="C72" s="5"/>
      <c r="D72" s="5"/>
    </row>
    <row r="73" customFormat="false" ht="30" hidden="false" customHeight="true" outlineLevel="0" collapsed="false">
      <c r="A73" s="5" t="s">
        <v>1624</v>
      </c>
      <c r="B73" s="5"/>
      <c r="C73" s="5"/>
      <c r="D73" s="5"/>
    </row>
    <row r="74" customFormat="false" ht="16.5" hidden="false" customHeight="true" outlineLevel="0" collapsed="false">
      <c r="A74" s="5" t="s">
        <v>1625</v>
      </c>
      <c r="B74" s="5"/>
      <c r="C74" s="5"/>
      <c r="D74" s="5"/>
    </row>
    <row r="75" customFormat="false" ht="30" hidden="false" customHeight="true" outlineLevel="0" collapsed="false">
      <c r="A75" s="5" t="s">
        <v>1626</v>
      </c>
      <c r="B75" s="5"/>
      <c r="C75" s="5"/>
      <c r="D75" s="5"/>
    </row>
    <row r="76" customFormat="false" ht="43.5" hidden="false" customHeight="true" outlineLevel="0" collapsed="false">
      <c r="A76" s="5" t="s">
        <v>1627</v>
      </c>
      <c r="B76" s="5"/>
      <c r="C76" s="5"/>
      <c r="D76" s="5"/>
    </row>
    <row r="77" customFormat="false" ht="16.5" hidden="false" customHeight="true" outlineLevel="0" collapsed="false">
      <c r="A77" s="5" t="s">
        <v>1628</v>
      </c>
      <c r="B77" s="5"/>
      <c r="C77" s="5"/>
      <c r="D77" s="5"/>
    </row>
    <row r="78" customFormat="false" ht="7.5" hidden="false" customHeight="true" outlineLevel="0" collapsed="false"/>
    <row r="79" customFormat="false" ht="16.5" hidden="false" customHeight="true" outlineLevel="0" collapsed="false">
      <c r="A79" s="7" t="s">
        <v>86</v>
      </c>
      <c r="B79" s="7"/>
      <c r="C79" s="7"/>
      <c r="D79" s="7"/>
    </row>
    <row r="80" customFormat="false" ht="16.5" hidden="false" customHeight="true" outlineLevel="0" collapsed="false">
      <c r="A80" s="8" t="s">
        <v>1629</v>
      </c>
      <c r="B80" s="8"/>
      <c r="C80" s="8"/>
      <c r="D80" s="8"/>
    </row>
    <row r="81" customFormat="false" ht="16.5" hidden="false" customHeight="true" outlineLevel="0" collapsed="false">
      <c r="A81" s="8" t="s">
        <v>1630</v>
      </c>
      <c r="B81" s="8"/>
      <c r="C81" s="8"/>
      <c r="D81" s="8"/>
    </row>
    <row r="82" customFormat="false" ht="16.5" hidden="false" customHeight="true" outlineLevel="0" collapsed="false">
      <c r="A82" s="8" t="s">
        <v>1631</v>
      </c>
      <c r="B82" s="8"/>
      <c r="C82" s="8"/>
      <c r="D82" s="8"/>
    </row>
    <row r="83" customFormat="false" ht="16.5" hidden="false" customHeight="true" outlineLevel="0" collapsed="false">
      <c r="A83" s="8" t="s">
        <v>1632</v>
      </c>
      <c r="B83" s="8"/>
      <c r="C83" s="8"/>
      <c r="D83" s="8"/>
    </row>
    <row r="84" customFormat="false" ht="16.5" hidden="false" customHeight="true" outlineLevel="0" collapsed="false">
      <c r="A84" s="8" t="s">
        <v>1633</v>
      </c>
      <c r="B84" s="8"/>
      <c r="C84" s="8"/>
      <c r="D84" s="8"/>
    </row>
    <row r="85" customFormat="false" ht="7.5" hidden="false" customHeight="true" outlineLevel="0" collapsed="false"/>
  </sheetData>
  <mergeCells count="67">
    <mergeCell ref="A1:D1"/>
    <mergeCell ref="A2:D2"/>
    <mergeCell ref="A4:D4"/>
    <mergeCell ref="C5:D5"/>
    <mergeCell ref="C6:D6"/>
    <mergeCell ref="C7:D7"/>
    <mergeCell ref="C8:D8"/>
    <mergeCell ref="C9:D9"/>
    <mergeCell ref="C10:D10"/>
    <mergeCell ref="A12:D12"/>
    <mergeCell ref="A14:D14"/>
    <mergeCell ref="A16:D16"/>
    <mergeCell ref="B17:D17"/>
    <mergeCell ref="B18:D18"/>
    <mergeCell ref="A20:D20"/>
    <mergeCell ref="C21:D21"/>
    <mergeCell ref="C22:D22"/>
    <mergeCell ref="C23:D23"/>
    <mergeCell ref="C24:D24"/>
    <mergeCell ref="C25:D25"/>
    <mergeCell ref="A27:D27"/>
    <mergeCell ref="B28:D28"/>
    <mergeCell ref="B29:D29"/>
    <mergeCell ref="B31:D31"/>
    <mergeCell ref="B32:D32"/>
    <mergeCell ref="B33:D33"/>
    <mergeCell ref="B34:D34"/>
    <mergeCell ref="B35:D35"/>
    <mergeCell ref="B37:D37"/>
    <mergeCell ref="B38:D38"/>
    <mergeCell ref="B39:D39"/>
    <mergeCell ref="B40:D40"/>
    <mergeCell ref="A42:D42"/>
    <mergeCell ref="A44:D44"/>
    <mergeCell ref="B45:D45"/>
    <mergeCell ref="B46:D46"/>
    <mergeCell ref="B47:D47"/>
    <mergeCell ref="A49:D49"/>
    <mergeCell ref="B50:D50"/>
    <mergeCell ref="B51:D51"/>
    <mergeCell ref="A53:D53"/>
    <mergeCell ref="A55:D55"/>
    <mergeCell ref="B56:D56"/>
    <mergeCell ref="B57:D57"/>
    <mergeCell ref="B58:D58"/>
    <mergeCell ref="B59:D59"/>
    <mergeCell ref="B60:D60"/>
    <mergeCell ref="B61:D61"/>
    <mergeCell ref="A63:D63"/>
    <mergeCell ref="B64:D64"/>
    <mergeCell ref="B65:D65"/>
    <mergeCell ref="B66:D66"/>
    <mergeCell ref="B67:D67"/>
    <mergeCell ref="A69:D69"/>
    <mergeCell ref="A71:D71"/>
    <mergeCell ref="A72:D72"/>
    <mergeCell ref="A73:D73"/>
    <mergeCell ref="A74:D74"/>
    <mergeCell ref="A75:D75"/>
    <mergeCell ref="A76:D76"/>
    <mergeCell ref="A77:D77"/>
    <mergeCell ref="A79:D79"/>
    <mergeCell ref="A80:D80"/>
    <mergeCell ref="A81:D81"/>
    <mergeCell ref="A82:D82"/>
    <mergeCell ref="A83:D83"/>
    <mergeCell ref="A84:D8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D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38"/>
  </cols>
  <sheetData>
    <row r="1" customFormat="false" ht="30" hidden="false" customHeight="true" outlineLevel="0" collapsed="false">
      <c r="A1" s="36" t="s">
        <v>1634</v>
      </c>
      <c r="B1" s="36"/>
      <c r="C1" s="36"/>
      <c r="D1" s="36"/>
    </row>
    <row r="2" customFormat="false" ht="47.25" hidden="false" customHeight="true" outlineLevel="0" collapsed="false">
      <c r="A2" s="2" t="s">
        <v>1635</v>
      </c>
      <c r="B2" s="2"/>
      <c r="C2" s="2"/>
      <c r="D2" s="2"/>
    </row>
    <row r="3" customFormat="false" ht="7.5" hidden="false" customHeight="true" outlineLevel="0" collapsed="false"/>
    <row r="4" customFormat="false" ht="18" hidden="false" customHeight="true" outlineLevel="0" collapsed="false">
      <c r="A4" s="37" t="s">
        <v>1636</v>
      </c>
      <c r="B4" s="37"/>
      <c r="C4" s="37"/>
      <c r="D4" s="37"/>
    </row>
    <row r="5" customFormat="false" ht="16.5" hidden="false" customHeight="true" outlineLevel="0" collapsed="false">
      <c r="A5" s="4" t="s">
        <v>1637</v>
      </c>
      <c r="B5" s="4" t="s">
        <v>1224</v>
      </c>
      <c r="C5" s="4"/>
      <c r="D5" s="4"/>
    </row>
    <row r="6" customFormat="false" ht="30" hidden="false" customHeight="true" outlineLevel="0" collapsed="false">
      <c r="A6" s="5" t="s">
        <v>1638</v>
      </c>
      <c r="B6" s="5" t="s">
        <v>1639</v>
      </c>
      <c r="C6" s="5"/>
      <c r="D6" s="5"/>
    </row>
    <row r="7" customFormat="false" ht="43.5" hidden="false" customHeight="true" outlineLevel="0" collapsed="false">
      <c r="A7" s="5" t="s">
        <v>1640</v>
      </c>
      <c r="B7" s="5" t="s">
        <v>1641</v>
      </c>
      <c r="C7" s="5"/>
      <c r="D7" s="5"/>
    </row>
    <row r="8" customFormat="false" ht="43.5" hidden="false" customHeight="true" outlineLevel="0" collapsed="false">
      <c r="A8" s="5" t="s">
        <v>1642</v>
      </c>
      <c r="B8" s="5" t="s">
        <v>1643</v>
      </c>
      <c r="C8" s="5"/>
      <c r="D8" s="5"/>
    </row>
    <row r="9" customFormat="false" ht="30" hidden="false" customHeight="true" outlineLevel="0" collapsed="false">
      <c r="A9" s="5" t="s">
        <v>1644</v>
      </c>
      <c r="B9" s="5" t="s">
        <v>1645</v>
      </c>
      <c r="C9" s="5"/>
      <c r="D9" s="5"/>
    </row>
    <row r="10" customFormat="false" ht="7.5" hidden="false" customHeight="true" outlineLevel="0" collapsed="false"/>
    <row r="11" customFormat="false" ht="30" hidden="false" customHeight="true" outlineLevel="0" collapsed="false">
      <c r="A11" s="4" t="s">
        <v>1646</v>
      </c>
      <c r="B11" s="4" t="s">
        <v>1224</v>
      </c>
      <c r="C11" s="4"/>
      <c r="D11" s="4"/>
    </row>
    <row r="12" customFormat="false" ht="30" hidden="false" customHeight="true" outlineLevel="0" collapsed="false">
      <c r="A12" s="5" t="s">
        <v>1647</v>
      </c>
      <c r="B12" s="5" t="s">
        <v>1648</v>
      </c>
      <c r="C12" s="5"/>
      <c r="D12" s="5"/>
    </row>
    <row r="13" customFormat="false" ht="7.5" hidden="false" customHeight="true" outlineLevel="0" collapsed="false"/>
    <row r="14" customFormat="false" ht="16.5" hidden="false" customHeight="true" outlineLevel="0" collapsed="false">
      <c r="A14" s="10" t="s">
        <v>1649</v>
      </c>
      <c r="B14" s="10"/>
      <c r="C14" s="10"/>
      <c r="D14" s="10"/>
    </row>
    <row r="15" customFormat="false" ht="7.5" hidden="false" customHeight="true" outlineLevel="0" collapsed="false"/>
    <row r="16" customFormat="false" ht="18" hidden="false" customHeight="true" outlineLevel="0" collapsed="false">
      <c r="A16" s="37" t="s">
        <v>1650</v>
      </c>
      <c r="B16" s="37"/>
      <c r="C16" s="37"/>
      <c r="D16" s="37"/>
    </row>
    <row r="17" customFormat="false" ht="16.5" hidden="false" customHeight="true" outlineLevel="0" collapsed="false">
      <c r="A17" s="5" t="s">
        <v>1651</v>
      </c>
      <c r="B17" s="5"/>
      <c r="C17" s="5"/>
      <c r="D17" s="5"/>
    </row>
    <row r="18" customFormat="false" ht="16.5" hidden="false" customHeight="true" outlineLevel="0" collapsed="false">
      <c r="A18" s="5" t="s">
        <v>1652</v>
      </c>
      <c r="B18" s="5"/>
      <c r="C18" s="5"/>
      <c r="D18" s="5"/>
    </row>
    <row r="19" customFormat="false" ht="16.5" hidden="false" customHeight="true" outlineLevel="0" collapsed="false">
      <c r="A19" s="5" t="s">
        <v>1653</v>
      </c>
      <c r="B19" s="5"/>
      <c r="C19" s="5"/>
      <c r="D19" s="5"/>
    </row>
    <row r="20" customFormat="false" ht="16.5" hidden="false" customHeight="true" outlineLevel="0" collapsed="false">
      <c r="A20" s="5" t="s">
        <v>1654</v>
      </c>
      <c r="B20" s="5"/>
      <c r="C20" s="5"/>
      <c r="D20" s="5"/>
    </row>
    <row r="21" customFormat="false" ht="16.5" hidden="false" customHeight="true" outlineLevel="0" collapsed="false">
      <c r="A21" s="5" t="s">
        <v>1655</v>
      </c>
      <c r="B21" s="5"/>
      <c r="C21" s="5"/>
      <c r="D21" s="5"/>
    </row>
    <row r="22" customFormat="false" ht="16.5" hidden="false" customHeight="true" outlineLevel="0" collapsed="false">
      <c r="A22" s="5" t="s">
        <v>1656</v>
      </c>
      <c r="B22" s="5"/>
      <c r="C22" s="5"/>
      <c r="D22" s="5"/>
    </row>
    <row r="23" customFormat="false" ht="7.5" hidden="false" customHeight="true" outlineLevel="0" collapsed="false"/>
    <row r="24" customFormat="false" ht="18" hidden="false" customHeight="true" outlineLevel="0" collapsed="false">
      <c r="A24" s="37" t="s">
        <v>1657</v>
      </c>
      <c r="B24" s="37"/>
      <c r="C24" s="37"/>
      <c r="D24" s="37"/>
    </row>
    <row r="25" customFormat="false" ht="16.5" hidden="false" customHeight="true" outlineLevel="0" collapsed="false">
      <c r="A25" s="4" t="s">
        <v>996</v>
      </c>
      <c r="B25" s="4" t="s">
        <v>167</v>
      </c>
      <c r="C25" s="4" t="s">
        <v>1431</v>
      </c>
      <c r="D25" s="4"/>
    </row>
    <row r="26" customFormat="false" ht="16.5" hidden="false" customHeight="true" outlineLevel="0" collapsed="false">
      <c r="A26" s="5" t="s">
        <v>1000</v>
      </c>
      <c r="B26" s="5" t="s">
        <v>1658</v>
      </c>
      <c r="C26" s="5"/>
      <c r="D26" s="5"/>
    </row>
    <row r="27" customFormat="false" ht="30" hidden="false" customHeight="true" outlineLevel="0" collapsed="false">
      <c r="A27" s="5" t="s">
        <v>1004</v>
      </c>
      <c r="B27" s="5" t="s">
        <v>1659</v>
      </c>
      <c r="C27" s="5" t="s">
        <v>1660</v>
      </c>
      <c r="D27" s="5"/>
    </row>
    <row r="28" customFormat="false" ht="30" hidden="false" customHeight="true" outlineLevel="0" collapsed="false">
      <c r="A28" s="5" t="s">
        <v>1008</v>
      </c>
      <c r="B28" s="5" t="s">
        <v>1661</v>
      </c>
      <c r="C28" s="5" t="s">
        <v>1433</v>
      </c>
      <c r="D28" s="5"/>
    </row>
    <row r="29" customFormat="false" ht="30" hidden="false" customHeight="true" outlineLevel="0" collapsed="false">
      <c r="A29" s="5" t="s">
        <v>1012</v>
      </c>
      <c r="B29" s="5" t="s">
        <v>1662</v>
      </c>
      <c r="C29" s="5" t="s">
        <v>1663</v>
      </c>
      <c r="D29" s="5"/>
    </row>
    <row r="30" customFormat="false" ht="30" hidden="false" customHeight="true" outlineLevel="0" collapsed="false">
      <c r="A30" s="5" t="s">
        <v>1016</v>
      </c>
      <c r="B30" s="5" t="s">
        <v>1664</v>
      </c>
      <c r="C30" s="5" t="s">
        <v>1665</v>
      </c>
      <c r="D30" s="5"/>
    </row>
    <row r="31" customFormat="false" ht="56.25" hidden="false" customHeight="true" outlineLevel="0" collapsed="false">
      <c r="A31" s="5" t="s">
        <v>1020</v>
      </c>
      <c r="B31" s="5" t="s">
        <v>1666</v>
      </c>
      <c r="C31" s="5" t="s">
        <v>1667</v>
      </c>
      <c r="D31" s="5"/>
    </row>
    <row r="32" customFormat="false" ht="30" hidden="false" customHeight="true" outlineLevel="0" collapsed="false">
      <c r="A32" s="5" t="s">
        <v>1024</v>
      </c>
      <c r="B32" s="5" t="s">
        <v>1668</v>
      </c>
      <c r="C32" s="5" t="s">
        <v>1036</v>
      </c>
      <c r="D32" s="5"/>
    </row>
    <row r="33" customFormat="false" ht="7.5" hidden="false" customHeight="true" outlineLevel="0" collapsed="false"/>
    <row r="34" customFormat="false" ht="16.5" hidden="false" customHeight="true" outlineLevel="0" collapsed="false">
      <c r="A34" s="10" t="s">
        <v>1669</v>
      </c>
      <c r="B34" s="10"/>
      <c r="C34" s="10"/>
      <c r="D34" s="10"/>
    </row>
    <row r="35" customFormat="false" ht="7.5" hidden="false" customHeight="true" outlineLevel="0" collapsed="false"/>
    <row r="36" customFormat="false" ht="18" hidden="false" customHeight="true" outlineLevel="0" collapsed="false">
      <c r="A36" s="37" t="s">
        <v>1670</v>
      </c>
      <c r="B36" s="37"/>
      <c r="C36" s="37"/>
      <c r="D36" s="37"/>
    </row>
    <row r="37" customFormat="false" ht="16.5" hidden="false" customHeight="true" outlineLevel="0" collapsed="false">
      <c r="A37" s="5" t="s">
        <v>1671</v>
      </c>
      <c r="B37" s="5"/>
      <c r="C37" s="5"/>
      <c r="D37" s="5"/>
    </row>
    <row r="38" customFormat="false" ht="16.5" hidden="false" customHeight="true" outlineLevel="0" collapsed="false">
      <c r="A38" s="5" t="s">
        <v>1672</v>
      </c>
      <c r="B38" s="5"/>
      <c r="C38" s="5"/>
      <c r="D38" s="5"/>
    </row>
    <row r="39" customFormat="false" ht="16.5" hidden="false" customHeight="true" outlineLevel="0" collapsed="false">
      <c r="A39" s="5" t="s">
        <v>1673</v>
      </c>
      <c r="B39" s="5"/>
      <c r="C39" s="5"/>
      <c r="D39" s="5"/>
    </row>
    <row r="40" customFormat="false" ht="16.5" hidden="false" customHeight="true" outlineLevel="0" collapsed="false">
      <c r="A40" s="5" t="s">
        <v>1674</v>
      </c>
      <c r="B40" s="5"/>
      <c r="C40" s="5"/>
      <c r="D40" s="5"/>
    </row>
    <row r="41" customFormat="false" ht="16.5" hidden="false" customHeight="true" outlineLevel="0" collapsed="false">
      <c r="A41" s="5" t="s">
        <v>1675</v>
      </c>
      <c r="B41" s="5"/>
      <c r="C41" s="5"/>
      <c r="D41" s="5"/>
    </row>
    <row r="42" customFormat="false" ht="7.5" hidden="false" customHeight="true" outlineLevel="0" collapsed="false"/>
    <row r="43" customFormat="false" ht="18" hidden="false" customHeight="true" outlineLevel="0" collapsed="false">
      <c r="A43" s="37" t="s">
        <v>1676</v>
      </c>
      <c r="B43" s="37"/>
      <c r="C43" s="37"/>
      <c r="D43" s="37"/>
    </row>
    <row r="44" customFormat="false" ht="16.5" hidden="false" customHeight="true" outlineLevel="0" collapsed="false">
      <c r="A44" s="4" t="s">
        <v>122</v>
      </c>
      <c r="B44" s="4" t="s">
        <v>1351</v>
      </c>
      <c r="C44" s="4" t="s">
        <v>1677</v>
      </c>
      <c r="D44" s="4"/>
    </row>
    <row r="45" customFormat="false" ht="30" hidden="false" customHeight="true" outlineLevel="0" collapsed="false">
      <c r="A45" s="5" t="s">
        <v>1678</v>
      </c>
      <c r="B45" s="5" t="s">
        <v>1679</v>
      </c>
      <c r="C45" s="5" t="s">
        <v>1680</v>
      </c>
      <c r="D45" s="5"/>
    </row>
    <row r="46" customFormat="false" ht="16.5" hidden="false" customHeight="true" outlineLevel="0" collapsed="false">
      <c r="A46" s="5" t="s">
        <v>1681</v>
      </c>
      <c r="B46" s="5" t="s">
        <v>1682</v>
      </c>
      <c r="C46" s="5" t="s">
        <v>1682</v>
      </c>
      <c r="D46" s="5"/>
    </row>
    <row r="47" customFormat="false" ht="30" hidden="false" customHeight="true" outlineLevel="0" collapsed="false">
      <c r="A47" s="5" t="s">
        <v>1683</v>
      </c>
      <c r="B47" s="5" t="s">
        <v>1684</v>
      </c>
      <c r="C47" s="5" t="s">
        <v>1685</v>
      </c>
      <c r="D47" s="5"/>
    </row>
    <row r="48" customFormat="false" ht="7.5" hidden="false" customHeight="true" outlineLevel="0" collapsed="false"/>
    <row r="49" customFormat="false" ht="16.5" hidden="false" customHeight="true" outlineLevel="0" collapsed="false">
      <c r="A49" s="10" t="s">
        <v>1686</v>
      </c>
      <c r="B49" s="10"/>
      <c r="C49" s="10"/>
      <c r="D49" s="10"/>
    </row>
    <row r="50" customFormat="false" ht="7.5" hidden="false" customHeight="true" outlineLevel="0" collapsed="false"/>
    <row r="51" customFormat="false" ht="18" hidden="false" customHeight="true" outlineLevel="0" collapsed="false">
      <c r="A51" s="37" t="s">
        <v>1687</v>
      </c>
      <c r="B51" s="37"/>
      <c r="C51" s="37"/>
      <c r="D51" s="37"/>
    </row>
    <row r="52" customFormat="false" ht="16.5" hidden="false" customHeight="true" outlineLevel="0" collapsed="false">
      <c r="A52" s="5" t="s">
        <v>1688</v>
      </c>
      <c r="B52" s="5"/>
      <c r="C52" s="5"/>
      <c r="D52" s="5"/>
    </row>
    <row r="53" customFormat="false" ht="16.5" hidden="false" customHeight="true" outlineLevel="0" collapsed="false">
      <c r="A53" s="5" t="s">
        <v>1689</v>
      </c>
      <c r="B53" s="5"/>
      <c r="C53" s="5"/>
      <c r="D53" s="5"/>
    </row>
    <row r="54" customFormat="false" ht="16.5" hidden="false" customHeight="true" outlineLevel="0" collapsed="false">
      <c r="A54" s="5" t="s">
        <v>1690</v>
      </c>
      <c r="B54" s="5"/>
      <c r="C54" s="5"/>
      <c r="D54" s="5"/>
    </row>
    <row r="55" customFormat="false" ht="16.5" hidden="false" customHeight="true" outlineLevel="0" collapsed="false">
      <c r="A55" s="5" t="s">
        <v>1691</v>
      </c>
      <c r="B55" s="5"/>
      <c r="C55" s="5"/>
      <c r="D55" s="5"/>
    </row>
    <row r="56" customFormat="false" ht="16.5" hidden="false" customHeight="true" outlineLevel="0" collapsed="false">
      <c r="A56" s="5" t="s">
        <v>1692</v>
      </c>
      <c r="B56" s="5"/>
      <c r="C56" s="5"/>
      <c r="D56" s="5"/>
    </row>
    <row r="57" customFormat="false" ht="16.5" hidden="false" customHeight="true" outlineLevel="0" collapsed="false">
      <c r="A57" s="5" t="s">
        <v>1693</v>
      </c>
      <c r="B57" s="5"/>
      <c r="C57" s="5"/>
      <c r="D57" s="5"/>
    </row>
    <row r="58" customFormat="false" ht="16.5" hidden="false" customHeight="true" outlineLevel="0" collapsed="false">
      <c r="A58" s="5" t="s">
        <v>1694</v>
      </c>
      <c r="B58" s="5"/>
      <c r="C58" s="5"/>
      <c r="D58" s="5"/>
    </row>
    <row r="59" customFormat="false" ht="7.5" hidden="false" customHeight="true" outlineLevel="0" collapsed="false"/>
    <row r="60" customFormat="false" ht="30" hidden="false" customHeight="true" outlineLevel="0" collapsed="false">
      <c r="A60" s="10" t="s">
        <v>1695</v>
      </c>
      <c r="B60" s="10"/>
      <c r="C60" s="10"/>
      <c r="D60" s="10"/>
    </row>
    <row r="61" customFormat="false" ht="7.5" hidden="false" customHeight="true" outlineLevel="0" collapsed="false"/>
    <row r="62" customFormat="false" ht="18" hidden="false" customHeight="true" outlineLevel="0" collapsed="false">
      <c r="A62" s="37" t="s">
        <v>1696</v>
      </c>
      <c r="B62" s="37"/>
      <c r="C62" s="37"/>
      <c r="D62" s="37"/>
    </row>
    <row r="63" customFormat="false" ht="16.5" hidden="false" customHeight="true" outlineLevel="0" collapsed="false">
      <c r="A63" s="4" t="s">
        <v>1697</v>
      </c>
      <c r="B63" s="4" t="s">
        <v>1698</v>
      </c>
      <c r="C63" s="4" t="s">
        <v>1431</v>
      </c>
      <c r="D63" s="4"/>
    </row>
    <row r="64" customFormat="false" ht="16.5" hidden="false" customHeight="true" outlineLevel="0" collapsed="false">
      <c r="A64" s="5" t="s">
        <v>1699</v>
      </c>
      <c r="B64" s="5" t="s">
        <v>1700</v>
      </c>
      <c r="C64" s="5" t="s">
        <v>1701</v>
      </c>
      <c r="D64" s="5"/>
    </row>
    <row r="65" customFormat="false" ht="30" hidden="false" customHeight="true" outlineLevel="0" collapsed="false">
      <c r="A65" s="5" t="s">
        <v>1702</v>
      </c>
      <c r="B65" s="5" t="s">
        <v>1703</v>
      </c>
      <c r="C65" s="5" t="s">
        <v>1704</v>
      </c>
      <c r="D65" s="5"/>
    </row>
    <row r="66" customFormat="false" ht="69.75" hidden="false" customHeight="true" outlineLevel="0" collapsed="false">
      <c r="A66" s="5" t="s">
        <v>1705</v>
      </c>
      <c r="B66" s="5" t="s">
        <v>1706</v>
      </c>
      <c r="C66" s="5" t="s">
        <v>1707</v>
      </c>
      <c r="D66" s="5"/>
    </row>
    <row r="67" customFormat="false" ht="30" hidden="false" customHeight="true" outlineLevel="0" collapsed="false">
      <c r="A67" s="5" t="s">
        <v>1708</v>
      </c>
      <c r="B67" s="5" t="s">
        <v>1709</v>
      </c>
      <c r="C67" s="5" t="s">
        <v>1701</v>
      </c>
      <c r="D67" s="5"/>
    </row>
    <row r="68" customFormat="false" ht="7.5" hidden="false" customHeight="true" outlineLevel="0" collapsed="false"/>
  </sheetData>
  <mergeCells count="55">
    <mergeCell ref="A1:D1"/>
    <mergeCell ref="A2:D2"/>
    <mergeCell ref="A4:D4"/>
    <mergeCell ref="B5:D5"/>
    <mergeCell ref="B6:D6"/>
    <mergeCell ref="B7:D7"/>
    <mergeCell ref="B8:D8"/>
    <mergeCell ref="B9:D9"/>
    <mergeCell ref="B11:D11"/>
    <mergeCell ref="B12:D12"/>
    <mergeCell ref="A14:D14"/>
    <mergeCell ref="A16:D16"/>
    <mergeCell ref="A17:D17"/>
    <mergeCell ref="A18:D18"/>
    <mergeCell ref="A19:D19"/>
    <mergeCell ref="A20:D20"/>
    <mergeCell ref="A21:D21"/>
    <mergeCell ref="A22:D22"/>
    <mergeCell ref="A24:D24"/>
    <mergeCell ref="C25:D25"/>
    <mergeCell ref="C26:D26"/>
    <mergeCell ref="C27:D27"/>
    <mergeCell ref="C28:D28"/>
    <mergeCell ref="C29:D29"/>
    <mergeCell ref="C30:D30"/>
    <mergeCell ref="C31:D31"/>
    <mergeCell ref="C32:D32"/>
    <mergeCell ref="A34:D34"/>
    <mergeCell ref="A36:D36"/>
    <mergeCell ref="A37:D37"/>
    <mergeCell ref="A38:D38"/>
    <mergeCell ref="A39:D39"/>
    <mergeCell ref="A40:D40"/>
    <mergeCell ref="A41:D41"/>
    <mergeCell ref="A43:D43"/>
    <mergeCell ref="C44:D44"/>
    <mergeCell ref="C45:D45"/>
    <mergeCell ref="C46:D46"/>
    <mergeCell ref="C47:D47"/>
    <mergeCell ref="A49:D49"/>
    <mergeCell ref="A51:D51"/>
    <mergeCell ref="A52:D52"/>
    <mergeCell ref="A53:D53"/>
    <mergeCell ref="A54:D54"/>
    <mergeCell ref="A55:D55"/>
    <mergeCell ref="A56:D56"/>
    <mergeCell ref="A57:D57"/>
    <mergeCell ref="A58:D58"/>
    <mergeCell ref="A60:D60"/>
    <mergeCell ref="A62:D62"/>
    <mergeCell ref="C63:D63"/>
    <mergeCell ref="C64:D64"/>
    <mergeCell ref="C65:D65"/>
    <mergeCell ref="C66:D66"/>
    <mergeCell ref="C67:D6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D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38"/>
  </cols>
  <sheetData>
    <row r="1" customFormat="false" ht="30" hidden="false" customHeight="true" outlineLevel="0" collapsed="false">
      <c r="A1" s="36" t="s">
        <v>1710</v>
      </c>
      <c r="B1" s="36"/>
      <c r="C1" s="36"/>
      <c r="D1" s="36"/>
    </row>
    <row r="2" customFormat="false" ht="33" hidden="false" customHeight="true" outlineLevel="0" collapsed="false">
      <c r="A2" s="2" t="s">
        <v>1711</v>
      </c>
      <c r="B2" s="2"/>
      <c r="C2" s="2"/>
      <c r="D2" s="2"/>
    </row>
    <row r="3" customFormat="false" ht="7.5" hidden="false" customHeight="true" outlineLevel="0" collapsed="false"/>
    <row r="4" customFormat="false" ht="18" hidden="false" customHeight="true" outlineLevel="0" collapsed="false">
      <c r="A4" s="37" t="s">
        <v>1712</v>
      </c>
      <c r="B4" s="37"/>
      <c r="C4" s="37"/>
      <c r="D4" s="37"/>
    </row>
    <row r="5" customFormat="false" ht="16.5" hidden="false" customHeight="true" outlineLevel="0" collapsed="false">
      <c r="A5" s="4" t="s">
        <v>1713</v>
      </c>
      <c r="B5" s="4" t="s">
        <v>167</v>
      </c>
      <c r="C5" s="4"/>
      <c r="D5" s="4"/>
    </row>
    <row r="6" customFormat="false" ht="43.5" hidden="false" customHeight="true" outlineLevel="0" collapsed="false">
      <c r="A6" s="5" t="s">
        <v>1714</v>
      </c>
      <c r="B6" s="5" t="s">
        <v>1715</v>
      </c>
      <c r="C6" s="5"/>
      <c r="D6" s="5"/>
    </row>
    <row r="7" customFormat="false" ht="43.5" hidden="false" customHeight="true" outlineLevel="0" collapsed="false">
      <c r="A7" s="5" t="s">
        <v>1716</v>
      </c>
      <c r="B7" s="5" t="s">
        <v>1717</v>
      </c>
      <c r="C7" s="5"/>
      <c r="D7" s="5"/>
    </row>
    <row r="8" customFormat="false" ht="30" hidden="false" customHeight="true" outlineLevel="0" collapsed="false">
      <c r="A8" s="5" t="s">
        <v>1718</v>
      </c>
      <c r="B8" s="5" t="s">
        <v>1719</v>
      </c>
      <c r="C8" s="5"/>
      <c r="D8" s="5"/>
    </row>
    <row r="9" customFormat="false" ht="7.5" hidden="false" customHeight="true" outlineLevel="0" collapsed="false"/>
    <row r="10" customFormat="false" ht="16.5" hidden="false" customHeight="true" outlineLevel="0" collapsed="false">
      <c r="A10" s="10" t="s">
        <v>1720</v>
      </c>
      <c r="B10" s="10"/>
      <c r="C10" s="10"/>
      <c r="D10" s="10"/>
    </row>
    <row r="11" customFormat="false" ht="7.5" hidden="false" customHeight="true" outlineLevel="0" collapsed="false"/>
    <row r="12" customFormat="false" ht="18" hidden="false" customHeight="true" outlineLevel="0" collapsed="false">
      <c r="A12" s="37" t="s">
        <v>1721</v>
      </c>
      <c r="B12" s="37"/>
      <c r="C12" s="37"/>
      <c r="D12" s="37"/>
    </row>
    <row r="13" customFormat="false" ht="16.5" hidden="false" customHeight="true" outlineLevel="0" collapsed="false">
      <c r="A13" s="4"/>
      <c r="B13" s="4" t="s">
        <v>1722</v>
      </c>
      <c r="C13" s="4" t="s">
        <v>1723</v>
      </c>
      <c r="D13" s="4" t="s">
        <v>1724</v>
      </c>
    </row>
    <row r="14" customFormat="false" ht="43.5" hidden="false" customHeight="true" outlineLevel="0" collapsed="false">
      <c r="A14" s="5" t="s">
        <v>980</v>
      </c>
      <c r="B14" s="5" t="s">
        <v>1725</v>
      </c>
      <c r="C14" s="5" t="s">
        <v>1726</v>
      </c>
      <c r="D14" s="5" t="s">
        <v>1727</v>
      </c>
    </row>
    <row r="15" customFormat="false" ht="16.5" hidden="false" customHeight="true" outlineLevel="0" collapsed="false">
      <c r="A15" s="5" t="s">
        <v>1728</v>
      </c>
      <c r="B15" s="5" t="s">
        <v>1729</v>
      </c>
      <c r="C15" s="5" t="s">
        <v>1729</v>
      </c>
      <c r="D15" s="5" t="s">
        <v>1729</v>
      </c>
    </row>
    <row r="16" customFormat="false" ht="43.5" hidden="false" customHeight="true" outlineLevel="0" collapsed="false">
      <c r="A16" s="5" t="s">
        <v>1730</v>
      </c>
      <c r="B16" s="5" t="s">
        <v>1731</v>
      </c>
      <c r="C16" s="5" t="s">
        <v>1732</v>
      </c>
      <c r="D16" s="5" t="s">
        <v>1733</v>
      </c>
    </row>
    <row r="17" customFormat="false" ht="56.25" hidden="false" customHeight="true" outlineLevel="0" collapsed="false">
      <c r="A17" s="5" t="s">
        <v>1734</v>
      </c>
      <c r="B17" s="5" t="s">
        <v>1735</v>
      </c>
      <c r="C17" s="5" t="s">
        <v>1736</v>
      </c>
      <c r="D17" s="5" t="s">
        <v>1737</v>
      </c>
    </row>
    <row r="18" customFormat="false" ht="7.5" hidden="false" customHeight="true" outlineLevel="0" collapsed="false"/>
    <row r="19" customFormat="false" ht="30" hidden="false" customHeight="true" outlineLevel="0" collapsed="false">
      <c r="A19" s="40" t="s">
        <v>1738</v>
      </c>
      <c r="B19" s="40"/>
      <c r="C19" s="40"/>
      <c r="D19" s="40"/>
    </row>
    <row r="20" customFormat="false" ht="7.5" hidden="false" customHeight="true" outlineLevel="0" collapsed="false"/>
    <row r="21" customFormat="false" ht="43.5" hidden="false" customHeight="true" outlineLevel="0" collapsed="false">
      <c r="A21" s="6" t="s">
        <v>1739</v>
      </c>
      <c r="B21" s="6"/>
      <c r="C21" s="6"/>
      <c r="D21" s="6"/>
    </row>
    <row r="22" customFormat="false" ht="7.5" hidden="false" customHeight="true" outlineLevel="0" collapsed="false"/>
    <row r="23" customFormat="false" ht="43.5" hidden="false" customHeight="true" outlineLevel="0" collapsed="false">
      <c r="A23" s="6" t="s">
        <v>1740</v>
      </c>
      <c r="B23" s="6"/>
      <c r="C23" s="6"/>
      <c r="D23" s="6"/>
    </row>
    <row r="24" customFormat="false" ht="7.5" hidden="false" customHeight="true" outlineLevel="0" collapsed="false"/>
  </sheetData>
  <mergeCells count="12">
    <mergeCell ref="A1:D1"/>
    <mergeCell ref="A2:D2"/>
    <mergeCell ref="A4:D4"/>
    <mergeCell ref="B5:D5"/>
    <mergeCell ref="B6:D6"/>
    <mergeCell ref="B7:D7"/>
    <mergeCell ref="B8:D8"/>
    <mergeCell ref="A10:D10"/>
    <mergeCell ref="A12:D12"/>
    <mergeCell ref="A19:D19"/>
    <mergeCell ref="A21:D21"/>
    <mergeCell ref="A23:D2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D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38"/>
  </cols>
  <sheetData>
    <row r="1" customFormat="false" ht="30" hidden="false" customHeight="true" outlineLevel="0" collapsed="false">
      <c r="A1" s="36" t="s">
        <v>1741</v>
      </c>
      <c r="B1" s="36"/>
      <c r="C1" s="36"/>
      <c r="D1" s="36"/>
    </row>
    <row r="2" customFormat="false" ht="33" hidden="false" customHeight="true" outlineLevel="0" collapsed="false">
      <c r="A2" s="2" t="s">
        <v>1742</v>
      </c>
      <c r="B2" s="2"/>
      <c r="C2" s="2"/>
      <c r="D2" s="2"/>
    </row>
    <row r="3" customFormat="false" ht="7.5" hidden="false" customHeight="true" outlineLevel="0" collapsed="false"/>
    <row r="4" customFormat="false" ht="18" hidden="false" customHeight="true" outlineLevel="0" collapsed="false">
      <c r="A4" s="37" t="s">
        <v>1743</v>
      </c>
      <c r="B4" s="37"/>
      <c r="C4" s="37"/>
      <c r="D4" s="37"/>
    </row>
    <row r="5" customFormat="false" ht="16.5" hidden="false" customHeight="true" outlineLevel="0" collapsed="false">
      <c r="A5" s="4" t="s">
        <v>205</v>
      </c>
      <c r="B5" s="4" t="s">
        <v>123</v>
      </c>
      <c r="C5" s="4" t="s">
        <v>1422</v>
      </c>
      <c r="D5" s="4"/>
    </row>
    <row r="6" customFormat="false" ht="16.5" hidden="false" customHeight="true" outlineLevel="0" collapsed="false">
      <c r="A6" s="5" t="s">
        <v>166</v>
      </c>
      <c r="B6" s="9" t="s">
        <v>1744</v>
      </c>
      <c r="C6" s="5" t="s">
        <v>1745</v>
      </c>
      <c r="D6" s="5"/>
    </row>
    <row r="7" customFormat="false" ht="16.5" hidden="false" customHeight="true" outlineLevel="0" collapsed="false">
      <c r="A7" s="11" t="s">
        <v>1746</v>
      </c>
      <c r="B7" s="11" t="s">
        <v>1747</v>
      </c>
      <c r="C7" s="11" t="s">
        <v>1748</v>
      </c>
      <c r="D7" s="11"/>
    </row>
    <row r="8" customFormat="false" ht="16.5" hidden="false" customHeight="true" outlineLevel="0" collapsed="false">
      <c r="A8" s="11" t="s">
        <v>1749</v>
      </c>
      <c r="B8" s="11" t="s">
        <v>1750</v>
      </c>
      <c r="C8" s="11" t="s">
        <v>1751</v>
      </c>
      <c r="D8" s="11"/>
    </row>
    <row r="9" customFormat="false" ht="16.5" hidden="false" customHeight="true" outlineLevel="0" collapsed="false">
      <c r="A9" s="11" t="s">
        <v>1752</v>
      </c>
      <c r="B9" s="11" t="s">
        <v>1753</v>
      </c>
      <c r="C9" s="11" t="s">
        <v>1754</v>
      </c>
      <c r="D9" s="11"/>
    </row>
    <row r="10" customFormat="false" ht="7.5" hidden="false" customHeight="true" outlineLevel="0" collapsed="false"/>
    <row r="11" customFormat="false" ht="43.5" hidden="false" customHeight="true" outlineLevel="0" collapsed="false">
      <c r="A11" s="6" t="s">
        <v>1755</v>
      </c>
      <c r="B11" s="6"/>
      <c r="C11" s="6"/>
      <c r="D11" s="6"/>
    </row>
    <row r="12" customFormat="false" ht="7.5" hidden="false" customHeight="true" outlineLevel="0" collapsed="false"/>
    <row r="13" customFormat="false" ht="18" hidden="false" customHeight="true" outlineLevel="0" collapsed="false">
      <c r="A13" s="37" t="s">
        <v>1756</v>
      </c>
      <c r="B13" s="37"/>
      <c r="C13" s="37"/>
      <c r="D13" s="37"/>
    </row>
    <row r="14" customFormat="false" ht="16.5" hidden="false" customHeight="true" outlineLevel="0" collapsed="false">
      <c r="A14" s="5" t="s">
        <v>1757</v>
      </c>
      <c r="B14" s="5"/>
      <c r="C14" s="5"/>
      <c r="D14" s="5"/>
    </row>
    <row r="15" customFormat="false" ht="16.5" hidden="false" customHeight="true" outlineLevel="0" collapsed="false">
      <c r="A15" s="5" t="s">
        <v>1758</v>
      </c>
      <c r="B15" s="5"/>
      <c r="C15" s="5"/>
      <c r="D15" s="5"/>
    </row>
    <row r="16" customFormat="false" ht="16.5" hidden="false" customHeight="true" outlineLevel="0" collapsed="false">
      <c r="A16" s="5" t="s">
        <v>1759</v>
      </c>
      <c r="B16" s="5"/>
      <c r="C16" s="5"/>
      <c r="D16" s="5"/>
    </row>
    <row r="17" customFormat="false" ht="16.5" hidden="false" customHeight="true" outlineLevel="0" collapsed="false">
      <c r="A17" s="5" t="s">
        <v>1760</v>
      </c>
      <c r="B17" s="5"/>
      <c r="C17" s="5"/>
      <c r="D17" s="5"/>
    </row>
    <row r="18" customFormat="false" ht="16.5" hidden="false" customHeight="true" outlineLevel="0" collapsed="false">
      <c r="A18" s="5" t="s">
        <v>1761</v>
      </c>
      <c r="B18" s="5"/>
      <c r="C18" s="5"/>
      <c r="D18" s="5"/>
    </row>
    <row r="19" customFormat="false" ht="16.5" hidden="false" customHeight="true" outlineLevel="0" collapsed="false">
      <c r="A19" s="5" t="s">
        <v>1762</v>
      </c>
      <c r="B19" s="5"/>
      <c r="C19" s="5"/>
      <c r="D19" s="5"/>
    </row>
    <row r="20" customFormat="false" ht="16.5" hidden="false" customHeight="true" outlineLevel="0" collapsed="false">
      <c r="A20" s="5" t="s">
        <v>1763</v>
      </c>
      <c r="B20" s="5"/>
      <c r="C20" s="5"/>
      <c r="D20" s="5"/>
    </row>
    <row r="21" customFormat="false" ht="16.5" hidden="false" customHeight="true" outlineLevel="0" collapsed="false">
      <c r="A21" s="5" t="s">
        <v>1764</v>
      </c>
      <c r="B21" s="5"/>
      <c r="C21" s="5"/>
      <c r="D21" s="5"/>
    </row>
    <row r="22" customFormat="false" ht="16.5" hidden="false" customHeight="true" outlineLevel="0" collapsed="false">
      <c r="A22" s="5" t="s">
        <v>1765</v>
      </c>
      <c r="B22" s="5"/>
      <c r="C22" s="5"/>
      <c r="D22" s="5"/>
    </row>
    <row r="23" customFormat="false" ht="16.5" hidden="false" customHeight="true" outlineLevel="0" collapsed="false">
      <c r="A23" s="5" t="s">
        <v>1766</v>
      </c>
      <c r="B23" s="5"/>
      <c r="C23" s="5"/>
      <c r="D23" s="5"/>
    </row>
    <row r="24" customFormat="false" ht="7.5" hidden="false" customHeight="true" outlineLevel="0" collapsed="false"/>
    <row r="25" customFormat="false" ht="30" hidden="false" customHeight="true" outlineLevel="0" collapsed="false">
      <c r="A25" s="10" t="s">
        <v>1767</v>
      </c>
      <c r="B25" s="10"/>
      <c r="C25" s="10"/>
      <c r="D25" s="10"/>
    </row>
    <row r="26" customFormat="false" ht="7.5" hidden="false" customHeight="true" outlineLevel="0" collapsed="false"/>
    <row r="27" customFormat="false" ht="18" hidden="false" customHeight="true" outlineLevel="0" collapsed="false">
      <c r="A27" s="37" t="s">
        <v>1768</v>
      </c>
      <c r="B27" s="37"/>
      <c r="C27" s="37"/>
      <c r="D27" s="37"/>
    </row>
    <row r="28" customFormat="false" ht="16.5" hidden="false" customHeight="true" outlineLevel="0" collapsed="false">
      <c r="A28" s="4" t="s">
        <v>1769</v>
      </c>
      <c r="B28" s="4" t="s">
        <v>1770</v>
      </c>
      <c r="C28" s="4" t="s">
        <v>1771</v>
      </c>
      <c r="D28" s="4"/>
    </row>
    <row r="29" customFormat="false" ht="30" hidden="false" customHeight="true" outlineLevel="0" collapsed="false">
      <c r="A29" s="5" t="s">
        <v>1772</v>
      </c>
      <c r="B29" s="9" t="s">
        <v>1773</v>
      </c>
      <c r="C29" s="5" t="s">
        <v>1774</v>
      </c>
      <c r="D29" s="5"/>
    </row>
    <row r="30" customFormat="false" ht="30" hidden="false" customHeight="true" outlineLevel="0" collapsed="false">
      <c r="A30" s="5" t="s">
        <v>1775</v>
      </c>
      <c r="B30" s="9" t="s">
        <v>1776</v>
      </c>
      <c r="C30" s="5" t="s">
        <v>1777</v>
      </c>
      <c r="D30" s="5"/>
    </row>
    <row r="31" customFormat="false" ht="43.5" hidden="false" customHeight="true" outlineLevel="0" collapsed="false">
      <c r="A31" s="5" t="s">
        <v>1778</v>
      </c>
      <c r="B31" s="9" t="s">
        <v>1779</v>
      </c>
      <c r="C31" s="5" t="s">
        <v>1774</v>
      </c>
      <c r="D31" s="5"/>
    </row>
    <row r="32" customFormat="false" ht="43.5" hidden="false" customHeight="true" outlineLevel="0" collapsed="false">
      <c r="A32" s="5" t="s">
        <v>1780</v>
      </c>
      <c r="B32" s="9" t="s">
        <v>1781</v>
      </c>
      <c r="C32" s="5" t="s">
        <v>1782</v>
      </c>
      <c r="D32" s="5"/>
    </row>
    <row r="33" customFormat="false" ht="43.5" hidden="false" customHeight="true" outlineLevel="0" collapsed="false">
      <c r="A33" s="5" t="s">
        <v>1783</v>
      </c>
      <c r="B33" s="9" t="s">
        <v>1784</v>
      </c>
      <c r="C33" s="5" t="s">
        <v>1782</v>
      </c>
      <c r="D33" s="5"/>
    </row>
    <row r="34" customFormat="false" ht="43.5" hidden="false" customHeight="true" outlineLevel="0" collapsed="false">
      <c r="A34" s="5" t="s">
        <v>1785</v>
      </c>
      <c r="B34" s="9" t="s">
        <v>1786</v>
      </c>
      <c r="C34" s="5" t="s">
        <v>1787</v>
      </c>
      <c r="D34" s="5"/>
    </row>
    <row r="35" customFormat="false" ht="30" hidden="false" customHeight="true" outlineLevel="0" collapsed="false">
      <c r="A35" s="5" t="s">
        <v>1788</v>
      </c>
      <c r="B35" s="9" t="s">
        <v>1789</v>
      </c>
      <c r="C35" s="5" t="s">
        <v>1774</v>
      </c>
      <c r="D35" s="5"/>
    </row>
    <row r="36" customFormat="false" ht="30" hidden="false" customHeight="true" outlineLevel="0" collapsed="false">
      <c r="A36" s="5" t="s">
        <v>1790</v>
      </c>
      <c r="B36" s="9" t="s">
        <v>1791</v>
      </c>
      <c r="C36" s="5" t="s">
        <v>1782</v>
      </c>
      <c r="D36" s="5"/>
    </row>
    <row r="37" customFormat="false" ht="43.5" hidden="false" customHeight="true" outlineLevel="0" collapsed="false">
      <c r="A37" s="5" t="s">
        <v>1792</v>
      </c>
      <c r="B37" s="9" t="s">
        <v>1793</v>
      </c>
      <c r="C37" s="5" t="s">
        <v>1782</v>
      </c>
      <c r="D37" s="5"/>
    </row>
    <row r="38" customFormat="false" ht="43.5" hidden="false" customHeight="true" outlineLevel="0" collapsed="false">
      <c r="A38" s="5" t="s">
        <v>1794</v>
      </c>
      <c r="B38" s="9" t="s">
        <v>1795</v>
      </c>
      <c r="C38" s="5" t="s">
        <v>1782</v>
      </c>
      <c r="D38" s="5"/>
    </row>
    <row r="39" customFormat="false" ht="43.5" hidden="false" customHeight="true" outlineLevel="0" collapsed="false">
      <c r="A39" s="5" t="s">
        <v>1796</v>
      </c>
      <c r="B39" s="9" t="s">
        <v>1797</v>
      </c>
      <c r="C39" s="5" t="s">
        <v>1782</v>
      </c>
      <c r="D39" s="5"/>
    </row>
    <row r="40" customFormat="false" ht="30" hidden="false" customHeight="true" outlineLevel="0" collapsed="false">
      <c r="A40" s="5" t="s">
        <v>1798</v>
      </c>
      <c r="B40" s="9" t="s">
        <v>1799</v>
      </c>
      <c r="C40" s="5" t="s">
        <v>1800</v>
      </c>
      <c r="D40" s="5"/>
    </row>
    <row r="41" customFormat="false" ht="109.5" hidden="false" customHeight="true" outlineLevel="0" collapsed="false">
      <c r="A41" s="5" t="s">
        <v>1801</v>
      </c>
      <c r="B41" s="9" t="s">
        <v>1802</v>
      </c>
      <c r="C41" s="5" t="s">
        <v>1803</v>
      </c>
      <c r="D41" s="5"/>
    </row>
    <row r="42" customFormat="false" ht="7.5" hidden="false" customHeight="true" outlineLevel="0" collapsed="false"/>
    <row r="43" customFormat="false" ht="30" hidden="false" customHeight="true" outlineLevel="0" collapsed="false">
      <c r="A43" s="10" t="s">
        <v>1804</v>
      </c>
      <c r="B43" s="10"/>
      <c r="C43" s="10"/>
      <c r="D43" s="10"/>
    </row>
    <row r="44" customFormat="false" ht="7.5" hidden="false" customHeight="true" outlineLevel="0" collapsed="false"/>
    <row r="45" customFormat="false" ht="18" hidden="false" customHeight="true" outlineLevel="0" collapsed="false">
      <c r="A45" s="37" t="s">
        <v>1805</v>
      </c>
      <c r="B45" s="37"/>
      <c r="C45" s="37"/>
      <c r="D45" s="37"/>
    </row>
    <row r="46" customFormat="false" ht="16.5" hidden="false" customHeight="true" outlineLevel="0" collapsed="false">
      <c r="A46" s="4" t="s">
        <v>1250</v>
      </c>
      <c r="B46" s="4" t="s">
        <v>1806</v>
      </c>
      <c r="C46" s="4"/>
      <c r="D46" s="4"/>
    </row>
    <row r="47" customFormat="false" ht="30" hidden="false" customHeight="true" outlineLevel="0" collapsed="false">
      <c r="A47" s="5" t="s">
        <v>1807</v>
      </c>
      <c r="B47" s="5" t="s">
        <v>1808</v>
      </c>
      <c r="C47" s="5"/>
      <c r="D47" s="5"/>
    </row>
    <row r="48" customFormat="false" ht="16.5" hidden="false" customHeight="true" outlineLevel="0" collapsed="false">
      <c r="A48" s="5" t="s">
        <v>1809</v>
      </c>
      <c r="B48" s="5" t="s">
        <v>1810</v>
      </c>
      <c r="C48" s="5"/>
      <c r="D48" s="5"/>
    </row>
    <row r="49" customFormat="false" ht="30" hidden="false" customHeight="true" outlineLevel="0" collapsed="false">
      <c r="A49" s="5" t="s">
        <v>1811</v>
      </c>
      <c r="B49" s="5" t="s">
        <v>1812</v>
      </c>
      <c r="C49" s="5"/>
      <c r="D49" s="5"/>
    </row>
    <row r="50" customFormat="false" ht="30" hidden="false" customHeight="true" outlineLevel="0" collapsed="false">
      <c r="A50" s="5" t="s">
        <v>1813</v>
      </c>
      <c r="B50" s="5" t="s">
        <v>1814</v>
      </c>
      <c r="C50" s="5"/>
      <c r="D50" s="5"/>
    </row>
    <row r="51" customFormat="false" ht="30" hidden="false" customHeight="true" outlineLevel="0" collapsed="false">
      <c r="A51" s="5" t="s">
        <v>1815</v>
      </c>
      <c r="B51" s="5" t="s">
        <v>1816</v>
      </c>
      <c r="C51" s="5"/>
      <c r="D51" s="5"/>
    </row>
    <row r="52" customFormat="false" ht="16.5" hidden="false" customHeight="true" outlineLevel="0" collapsed="false">
      <c r="A52" s="5" t="s">
        <v>1817</v>
      </c>
      <c r="B52" s="5" t="s">
        <v>1818</v>
      </c>
      <c r="C52" s="5"/>
      <c r="D52" s="5"/>
    </row>
    <row r="53" customFormat="false" ht="56.25" hidden="false" customHeight="true" outlineLevel="0" collapsed="false">
      <c r="A53" s="5" t="s">
        <v>1819</v>
      </c>
      <c r="B53" s="5" t="s">
        <v>1820</v>
      </c>
      <c r="C53" s="5"/>
      <c r="D53" s="5"/>
    </row>
    <row r="54" customFormat="false" ht="7.5" hidden="false" customHeight="true" outlineLevel="0" collapsed="false"/>
    <row r="55" customFormat="false" ht="18" hidden="false" customHeight="true" outlineLevel="0" collapsed="false">
      <c r="A55" s="37" t="s">
        <v>1821</v>
      </c>
      <c r="B55" s="37"/>
      <c r="C55" s="37"/>
      <c r="D55" s="37"/>
    </row>
    <row r="56" customFormat="false" ht="16.5" hidden="false" customHeight="true" outlineLevel="0" collapsed="false">
      <c r="A56" s="4" t="s">
        <v>1822</v>
      </c>
      <c r="B56" s="4" t="s">
        <v>1823</v>
      </c>
      <c r="C56" s="4" t="s">
        <v>1824</v>
      </c>
      <c r="D56" s="4"/>
    </row>
    <row r="57" customFormat="false" ht="43.5" hidden="false" customHeight="true" outlineLevel="0" collapsed="false">
      <c r="A57" s="5" t="s">
        <v>1825</v>
      </c>
      <c r="B57" s="9" t="s">
        <v>1826</v>
      </c>
      <c r="C57" s="5" t="s">
        <v>1827</v>
      </c>
      <c r="D57" s="5"/>
    </row>
    <row r="58" customFormat="false" ht="56.25" hidden="false" customHeight="true" outlineLevel="0" collapsed="false">
      <c r="A58" s="5" t="s">
        <v>1828</v>
      </c>
      <c r="B58" s="9" t="s">
        <v>1829</v>
      </c>
      <c r="C58" s="5" t="s">
        <v>1830</v>
      </c>
      <c r="D58" s="5"/>
    </row>
    <row r="59" customFormat="false" ht="30" hidden="false" customHeight="true" outlineLevel="0" collapsed="false">
      <c r="A59" s="5" t="s">
        <v>1831</v>
      </c>
      <c r="B59" s="9" t="s">
        <v>1832</v>
      </c>
      <c r="C59" s="5" t="s">
        <v>1833</v>
      </c>
      <c r="D59" s="5"/>
    </row>
    <row r="60" customFormat="false" ht="30" hidden="false" customHeight="true" outlineLevel="0" collapsed="false">
      <c r="A60" s="5" t="s">
        <v>1834</v>
      </c>
      <c r="B60" s="9" t="s">
        <v>1835</v>
      </c>
      <c r="C60" s="5" t="s">
        <v>1836</v>
      </c>
      <c r="D60" s="5"/>
    </row>
    <row r="61" customFormat="false" ht="30" hidden="false" customHeight="true" outlineLevel="0" collapsed="false">
      <c r="A61" s="5" t="s">
        <v>1837</v>
      </c>
      <c r="B61" s="9" t="s">
        <v>1838</v>
      </c>
      <c r="C61" s="5" t="s">
        <v>1839</v>
      </c>
      <c r="D61" s="5"/>
    </row>
    <row r="62" customFormat="false" ht="30" hidden="false" customHeight="true" outlineLevel="0" collapsed="false">
      <c r="A62" s="5" t="s">
        <v>1840</v>
      </c>
      <c r="B62" s="9" t="s">
        <v>1841</v>
      </c>
      <c r="C62" s="5" t="s">
        <v>1842</v>
      </c>
      <c r="D62" s="5"/>
    </row>
    <row r="63" customFormat="false" ht="16.5" hidden="false" customHeight="true" outlineLevel="0" collapsed="false">
      <c r="A63" s="5" t="s">
        <v>1843</v>
      </c>
      <c r="B63" s="9" t="s">
        <v>1844</v>
      </c>
      <c r="C63" s="5" t="s">
        <v>1845</v>
      </c>
      <c r="D63" s="5"/>
    </row>
    <row r="64" customFormat="false" ht="30" hidden="false" customHeight="true" outlineLevel="0" collapsed="false">
      <c r="A64" s="5" t="s">
        <v>1846</v>
      </c>
      <c r="B64" s="9" t="s">
        <v>1841</v>
      </c>
      <c r="C64" s="5" t="s">
        <v>1842</v>
      </c>
      <c r="D64" s="5"/>
    </row>
    <row r="65" customFormat="false" ht="30" hidden="false" customHeight="true" outlineLevel="0" collapsed="false">
      <c r="A65" s="5" t="s">
        <v>1847</v>
      </c>
      <c r="B65" s="9" t="s">
        <v>1839</v>
      </c>
      <c r="C65" s="5" t="s">
        <v>1848</v>
      </c>
      <c r="D65" s="5"/>
    </row>
    <row r="66" customFormat="false" ht="43.5" hidden="false" customHeight="true" outlineLevel="0" collapsed="false">
      <c r="A66" s="5" t="s">
        <v>1849</v>
      </c>
      <c r="B66" s="9" t="s">
        <v>1850</v>
      </c>
      <c r="C66" s="5" t="s">
        <v>1851</v>
      </c>
      <c r="D66" s="5"/>
    </row>
    <row r="67" customFormat="false" ht="43.5" hidden="false" customHeight="true" outlineLevel="0" collapsed="false">
      <c r="A67" s="5" t="s">
        <v>1852</v>
      </c>
      <c r="B67" s="9" t="s">
        <v>1841</v>
      </c>
      <c r="C67" s="5" t="s">
        <v>1842</v>
      </c>
      <c r="D67" s="5"/>
    </row>
    <row r="68" customFormat="false" ht="7.5" hidden="false" customHeight="true" outlineLevel="0" collapsed="false"/>
    <row r="69" customFormat="false" ht="30" hidden="false" customHeight="true" outlineLevel="0" collapsed="false">
      <c r="A69" s="10" t="s">
        <v>1853</v>
      </c>
      <c r="B69" s="10"/>
      <c r="C69" s="10"/>
      <c r="D69" s="10"/>
    </row>
    <row r="70" customFormat="false" ht="7.5" hidden="false" customHeight="true" outlineLevel="0" collapsed="false"/>
    <row r="71" customFormat="false" ht="30" hidden="false" customHeight="true" outlineLevel="0" collapsed="false">
      <c r="A71" s="6" t="s">
        <v>1854</v>
      </c>
      <c r="B71" s="6"/>
      <c r="C71" s="6"/>
      <c r="D71" s="6"/>
    </row>
    <row r="72" customFormat="false" ht="7.5" hidden="false" customHeight="true" outlineLevel="0" collapsed="false"/>
    <row r="73" customFormat="false" ht="16.5" hidden="false" customHeight="true" outlineLevel="0" collapsed="false">
      <c r="A73" s="7" t="s">
        <v>86</v>
      </c>
      <c r="B73" s="7"/>
      <c r="C73" s="7"/>
      <c r="D73" s="7"/>
    </row>
    <row r="74" customFormat="false" ht="16.5" hidden="false" customHeight="true" outlineLevel="0" collapsed="false">
      <c r="A74" s="8" t="s">
        <v>1855</v>
      </c>
      <c r="B74" s="8"/>
      <c r="C74" s="8"/>
      <c r="D74" s="8"/>
    </row>
    <row r="75" customFormat="false" ht="16.5" hidden="false" customHeight="true" outlineLevel="0" collapsed="false">
      <c r="A75" s="8" t="s">
        <v>1856</v>
      </c>
      <c r="B75" s="8"/>
      <c r="C75" s="8"/>
      <c r="D75" s="8"/>
    </row>
    <row r="76" customFormat="false" ht="16.5" hidden="false" customHeight="true" outlineLevel="0" collapsed="false">
      <c r="A76" s="8" t="s">
        <v>1857</v>
      </c>
      <c r="B76" s="8"/>
      <c r="C76" s="8"/>
      <c r="D76" s="8"/>
    </row>
    <row r="77" customFormat="false" ht="16.5" hidden="false" customHeight="true" outlineLevel="0" collapsed="false">
      <c r="A77" s="8" t="s">
        <v>1858</v>
      </c>
      <c r="B77" s="8"/>
      <c r="C77" s="8"/>
      <c r="D77" s="8"/>
    </row>
    <row r="78" customFormat="false" ht="16.5" hidden="false" customHeight="true" outlineLevel="0" collapsed="false">
      <c r="A78" s="8" t="s">
        <v>1859</v>
      </c>
      <c r="B78" s="8"/>
      <c r="C78" s="8"/>
      <c r="D78" s="8"/>
    </row>
    <row r="79" customFormat="false" ht="7.5" hidden="false" customHeight="true" outlineLevel="0" collapsed="false"/>
  </sheetData>
  <mergeCells count="67">
    <mergeCell ref="A1:D1"/>
    <mergeCell ref="A2:D2"/>
    <mergeCell ref="A4:D4"/>
    <mergeCell ref="C5:D5"/>
    <mergeCell ref="C6:D6"/>
    <mergeCell ref="C7:D7"/>
    <mergeCell ref="C8:D8"/>
    <mergeCell ref="C9:D9"/>
    <mergeCell ref="A11:D11"/>
    <mergeCell ref="A13:D13"/>
    <mergeCell ref="A14:D14"/>
    <mergeCell ref="A15:D15"/>
    <mergeCell ref="A16:D16"/>
    <mergeCell ref="A17:D17"/>
    <mergeCell ref="A18:D18"/>
    <mergeCell ref="A19:D19"/>
    <mergeCell ref="A20:D20"/>
    <mergeCell ref="A21:D21"/>
    <mergeCell ref="A22:D22"/>
    <mergeCell ref="A23:D23"/>
    <mergeCell ref="A25:D25"/>
    <mergeCell ref="A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A43:D43"/>
    <mergeCell ref="A45:D45"/>
    <mergeCell ref="B46:D46"/>
    <mergeCell ref="B47:D47"/>
    <mergeCell ref="B48:D48"/>
    <mergeCell ref="B49:D49"/>
    <mergeCell ref="B50:D50"/>
    <mergeCell ref="B51:D51"/>
    <mergeCell ref="B52:D52"/>
    <mergeCell ref="B53:D53"/>
    <mergeCell ref="A55:D55"/>
    <mergeCell ref="C56:D56"/>
    <mergeCell ref="C57:D57"/>
    <mergeCell ref="C58:D58"/>
    <mergeCell ref="C59:D59"/>
    <mergeCell ref="C60:D60"/>
    <mergeCell ref="C61:D61"/>
    <mergeCell ref="C62:D62"/>
    <mergeCell ref="C63:D63"/>
    <mergeCell ref="C64:D64"/>
    <mergeCell ref="C65:D65"/>
    <mergeCell ref="C66:D66"/>
    <mergeCell ref="C67:D67"/>
    <mergeCell ref="A69:D69"/>
    <mergeCell ref="A71:D71"/>
    <mergeCell ref="A73:D73"/>
    <mergeCell ref="A74:D74"/>
    <mergeCell ref="A75:D75"/>
    <mergeCell ref="A76:D76"/>
    <mergeCell ref="A77:D77"/>
    <mergeCell ref="A78:D7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2C83"/>
    <pageSetUpPr fitToPage="true"/>
  </sheetPr>
  <dimension ref="A1:D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38"/>
  </cols>
  <sheetData>
    <row r="1" customFormat="false" ht="30" hidden="false" customHeight="true" outlineLevel="0" collapsed="false">
      <c r="A1" s="41" t="s">
        <v>1860</v>
      </c>
      <c r="B1" s="41"/>
      <c r="C1" s="41"/>
      <c r="D1" s="41"/>
    </row>
    <row r="2" customFormat="false" ht="33" hidden="false" customHeight="true" outlineLevel="0" collapsed="false">
      <c r="A2" s="2" t="s">
        <v>1861</v>
      </c>
      <c r="B2" s="2"/>
      <c r="C2" s="2"/>
      <c r="D2" s="2"/>
    </row>
    <row r="3" customFormat="false" ht="7.5" hidden="false" customHeight="true" outlineLevel="0" collapsed="false"/>
    <row r="4" customFormat="false" ht="18" hidden="false" customHeight="true" outlineLevel="0" collapsed="false">
      <c r="A4" s="42" t="s">
        <v>1862</v>
      </c>
      <c r="B4" s="42"/>
      <c r="C4" s="42"/>
      <c r="D4" s="42"/>
    </row>
    <row r="5" customFormat="false" ht="16.5" hidden="false" customHeight="true" outlineLevel="0" collapsed="false">
      <c r="A5" s="4" t="s">
        <v>205</v>
      </c>
      <c r="B5" s="4" t="s">
        <v>122</v>
      </c>
      <c r="C5" s="4"/>
      <c r="D5" s="4"/>
    </row>
    <row r="6" customFormat="false" ht="16.5" hidden="false" customHeight="true" outlineLevel="0" collapsed="false">
      <c r="A6" s="5" t="s">
        <v>166</v>
      </c>
      <c r="B6" s="9" t="s">
        <v>1863</v>
      </c>
      <c r="C6" s="9"/>
      <c r="D6" s="9"/>
    </row>
    <row r="7" customFormat="false" ht="16.5" hidden="false" customHeight="true" outlineLevel="0" collapsed="false">
      <c r="A7" s="5" t="s">
        <v>1864</v>
      </c>
      <c r="B7" s="9" t="s">
        <v>1865</v>
      </c>
      <c r="C7" s="9"/>
      <c r="D7" s="9"/>
    </row>
    <row r="8" customFormat="false" ht="16.5" hidden="false" customHeight="true" outlineLevel="0" collapsed="false">
      <c r="A8" s="5" t="s">
        <v>1866</v>
      </c>
      <c r="B8" s="9" t="s">
        <v>1867</v>
      </c>
      <c r="C8" s="9"/>
      <c r="D8" s="9"/>
    </row>
    <row r="9" customFormat="false" ht="7.5" hidden="false" customHeight="true" outlineLevel="0" collapsed="false"/>
    <row r="10" customFormat="false" ht="18" hidden="false" customHeight="true" outlineLevel="0" collapsed="false">
      <c r="A10" s="42" t="s">
        <v>1868</v>
      </c>
      <c r="B10" s="42"/>
      <c r="C10" s="42"/>
      <c r="D10" s="42"/>
    </row>
    <row r="11" customFormat="false" ht="16.5" hidden="false" customHeight="true" outlineLevel="0" collapsed="false">
      <c r="A11" s="4" t="s">
        <v>996</v>
      </c>
      <c r="B11" s="4" t="s">
        <v>1869</v>
      </c>
      <c r="C11" s="4" t="s">
        <v>1431</v>
      </c>
      <c r="D11" s="4"/>
    </row>
    <row r="12" customFormat="false" ht="16.5" hidden="false" customHeight="true" outlineLevel="0" collapsed="false">
      <c r="A12" s="5" t="s">
        <v>1000</v>
      </c>
      <c r="B12" s="5" t="s">
        <v>1870</v>
      </c>
      <c r="C12" s="5" t="s">
        <v>1871</v>
      </c>
      <c r="D12" s="5"/>
    </row>
    <row r="13" customFormat="false" ht="16.5" hidden="false" customHeight="true" outlineLevel="0" collapsed="false">
      <c r="A13" s="5" t="s">
        <v>1004</v>
      </c>
      <c r="B13" s="5" t="s">
        <v>1872</v>
      </c>
      <c r="C13" s="5" t="s">
        <v>1873</v>
      </c>
      <c r="D13" s="5"/>
    </row>
    <row r="14" customFormat="false" ht="16.5" hidden="false" customHeight="true" outlineLevel="0" collapsed="false">
      <c r="A14" s="5" t="s">
        <v>1008</v>
      </c>
      <c r="B14" s="5" t="s">
        <v>1874</v>
      </c>
      <c r="C14" s="5" t="s">
        <v>1875</v>
      </c>
      <c r="D14" s="5"/>
    </row>
    <row r="15" customFormat="false" ht="16.5" hidden="false" customHeight="true" outlineLevel="0" collapsed="false">
      <c r="A15" s="5" t="s">
        <v>1012</v>
      </c>
      <c r="B15" s="5" t="s">
        <v>1876</v>
      </c>
      <c r="C15" s="5" t="s">
        <v>1877</v>
      </c>
      <c r="D15" s="5"/>
    </row>
    <row r="16" customFormat="false" ht="7.5" hidden="false" customHeight="true" outlineLevel="0" collapsed="false"/>
    <row r="17" customFormat="false" ht="16.5" hidden="false" customHeight="true" outlineLevel="0" collapsed="false">
      <c r="A17" s="10" t="s">
        <v>1878</v>
      </c>
      <c r="B17" s="10"/>
      <c r="C17" s="10"/>
      <c r="D17" s="10"/>
    </row>
    <row r="18" customFormat="false" ht="7.5" hidden="false" customHeight="true" outlineLevel="0" collapsed="false"/>
    <row r="19" customFormat="false" ht="16.5" hidden="false" customHeight="true" outlineLevel="0" collapsed="false">
      <c r="A19" s="4" t="s">
        <v>1879</v>
      </c>
      <c r="B19" s="4" t="s">
        <v>1880</v>
      </c>
      <c r="C19" s="4" t="s">
        <v>1881</v>
      </c>
      <c r="D19" s="4"/>
    </row>
    <row r="20" customFormat="false" ht="16.5" hidden="false" customHeight="true" outlineLevel="0" collapsed="false">
      <c r="A20" s="5" t="s">
        <v>1882</v>
      </c>
      <c r="B20" s="5" t="s">
        <v>1883</v>
      </c>
      <c r="C20" s="5" t="s">
        <v>1884</v>
      </c>
      <c r="D20" s="5"/>
    </row>
    <row r="21" customFormat="false" ht="16.5" hidden="false" customHeight="true" outlineLevel="0" collapsed="false">
      <c r="A21" s="5" t="s">
        <v>1882</v>
      </c>
      <c r="B21" s="5" t="s">
        <v>1885</v>
      </c>
      <c r="C21" s="5" t="s">
        <v>1886</v>
      </c>
      <c r="D21" s="5"/>
    </row>
    <row r="22" customFormat="false" ht="16.5" hidden="false" customHeight="true" outlineLevel="0" collapsed="false">
      <c r="A22" s="5" t="s">
        <v>1887</v>
      </c>
      <c r="B22" s="5" t="s">
        <v>1888</v>
      </c>
      <c r="C22" s="5" t="s">
        <v>1889</v>
      </c>
      <c r="D22" s="5"/>
    </row>
    <row r="23" customFormat="false" ht="7.5" hidden="false" customHeight="true" outlineLevel="0" collapsed="false"/>
    <row r="24" customFormat="false" ht="18" hidden="false" customHeight="true" outlineLevel="0" collapsed="false">
      <c r="A24" s="42" t="s">
        <v>1890</v>
      </c>
      <c r="B24" s="42"/>
      <c r="C24" s="42"/>
      <c r="D24" s="42"/>
    </row>
    <row r="25" customFormat="false" ht="16.5" hidden="false" customHeight="true" outlineLevel="0" collapsed="false">
      <c r="A25" s="5" t="s">
        <v>1891</v>
      </c>
      <c r="B25" s="5"/>
      <c r="C25" s="5"/>
      <c r="D25" s="5"/>
    </row>
    <row r="26" customFormat="false" ht="16.5" hidden="false" customHeight="true" outlineLevel="0" collapsed="false">
      <c r="A26" s="5" t="s">
        <v>1892</v>
      </c>
      <c r="B26" s="5"/>
      <c r="C26" s="5"/>
      <c r="D26" s="5"/>
    </row>
    <row r="27" customFormat="false" ht="16.5" hidden="false" customHeight="true" outlineLevel="0" collapsed="false">
      <c r="A27" s="5" t="s">
        <v>1893</v>
      </c>
      <c r="B27" s="5"/>
      <c r="C27" s="5"/>
      <c r="D27" s="5"/>
    </row>
    <row r="28" customFormat="false" ht="16.5" hidden="false" customHeight="true" outlineLevel="0" collapsed="false">
      <c r="A28" s="5" t="s">
        <v>1894</v>
      </c>
      <c r="B28" s="5"/>
      <c r="C28" s="5"/>
      <c r="D28" s="5"/>
    </row>
    <row r="29" customFormat="false" ht="16.5" hidden="false" customHeight="true" outlineLevel="0" collapsed="false">
      <c r="A29" s="5" t="s">
        <v>1895</v>
      </c>
      <c r="B29" s="5"/>
      <c r="C29" s="5"/>
      <c r="D29" s="5"/>
    </row>
    <row r="30" customFormat="false" ht="30" hidden="false" customHeight="true" outlineLevel="0" collapsed="false">
      <c r="A30" s="5" t="s">
        <v>1896</v>
      </c>
      <c r="B30" s="5"/>
      <c r="C30" s="5"/>
      <c r="D30" s="5"/>
    </row>
    <row r="31" customFormat="false" ht="7.5" hidden="false" customHeight="true" outlineLevel="0" collapsed="false"/>
    <row r="32" customFormat="false" ht="18" hidden="false" customHeight="true" outlineLevel="0" collapsed="false">
      <c r="A32" s="42" t="s">
        <v>1897</v>
      </c>
      <c r="B32" s="42"/>
      <c r="C32" s="42"/>
      <c r="D32" s="42"/>
    </row>
    <row r="33" customFormat="false" ht="16.5" hidden="false" customHeight="true" outlineLevel="0" collapsed="false">
      <c r="A33" s="4" t="s">
        <v>1898</v>
      </c>
      <c r="B33" s="4" t="s">
        <v>1576</v>
      </c>
      <c r="C33" s="4"/>
      <c r="D33" s="4"/>
    </row>
    <row r="34" customFormat="false" ht="56.25" hidden="false" customHeight="true" outlineLevel="0" collapsed="false">
      <c r="A34" s="5" t="s">
        <v>1899</v>
      </c>
      <c r="B34" s="5" t="s">
        <v>1900</v>
      </c>
      <c r="C34" s="5"/>
      <c r="D34" s="5"/>
    </row>
    <row r="35" customFormat="false" ht="56.25" hidden="false" customHeight="true" outlineLevel="0" collapsed="false">
      <c r="A35" s="5" t="s">
        <v>1901</v>
      </c>
      <c r="B35" s="5" t="s">
        <v>1902</v>
      </c>
      <c r="C35" s="5"/>
      <c r="D35" s="5"/>
    </row>
    <row r="36" customFormat="false" ht="43.5" hidden="false" customHeight="true" outlineLevel="0" collapsed="false">
      <c r="A36" s="5" t="s">
        <v>1903</v>
      </c>
      <c r="B36" s="5" t="s">
        <v>1904</v>
      </c>
      <c r="C36" s="5"/>
      <c r="D36" s="5"/>
    </row>
    <row r="37" customFormat="false" ht="7.5" hidden="false" customHeight="true" outlineLevel="0" collapsed="false"/>
    <row r="38" customFormat="false" ht="30" hidden="false" customHeight="true" outlineLevel="0" collapsed="false">
      <c r="A38" s="35" t="s">
        <v>1905</v>
      </c>
      <c r="B38" s="35"/>
      <c r="C38" s="35"/>
      <c r="D38" s="35"/>
    </row>
    <row r="39" customFormat="false" ht="7.5" hidden="false" customHeight="true" outlineLevel="0" collapsed="false"/>
    <row r="40" customFormat="false" ht="18" hidden="false" customHeight="true" outlineLevel="0" collapsed="false">
      <c r="A40" s="42" t="s">
        <v>1906</v>
      </c>
      <c r="B40" s="42"/>
      <c r="C40" s="42"/>
      <c r="D40" s="42"/>
    </row>
    <row r="41" customFormat="false" ht="16.5" hidden="false" customHeight="true" outlineLevel="0" collapsed="false">
      <c r="A41" s="5" t="s">
        <v>1907</v>
      </c>
      <c r="B41" s="5"/>
      <c r="C41" s="5"/>
      <c r="D41" s="5"/>
    </row>
    <row r="42" customFormat="false" ht="16.5" hidden="false" customHeight="true" outlineLevel="0" collapsed="false">
      <c r="A42" s="5" t="s">
        <v>1908</v>
      </c>
      <c r="B42" s="5"/>
      <c r="C42" s="5"/>
      <c r="D42" s="5"/>
    </row>
    <row r="43" customFormat="false" ht="16.5" hidden="false" customHeight="true" outlineLevel="0" collapsed="false">
      <c r="A43" s="5" t="s">
        <v>1909</v>
      </c>
      <c r="B43" s="5"/>
      <c r="C43" s="5"/>
      <c r="D43" s="5"/>
    </row>
    <row r="44" customFormat="false" ht="16.5" hidden="false" customHeight="true" outlineLevel="0" collapsed="false">
      <c r="A44" s="5" t="s">
        <v>1910</v>
      </c>
      <c r="B44" s="5"/>
      <c r="C44" s="5"/>
      <c r="D44" s="5"/>
    </row>
    <row r="45" customFormat="false" ht="16.5" hidden="false" customHeight="true" outlineLevel="0" collapsed="false">
      <c r="A45" s="5" t="s">
        <v>1911</v>
      </c>
      <c r="B45" s="5"/>
      <c r="C45" s="5"/>
      <c r="D45" s="5"/>
    </row>
    <row r="46" customFormat="false" ht="16.5" hidden="false" customHeight="true" outlineLevel="0" collapsed="false">
      <c r="A46" s="5" t="s">
        <v>1912</v>
      </c>
      <c r="B46" s="5"/>
      <c r="C46" s="5"/>
      <c r="D46" s="5"/>
    </row>
    <row r="47" customFormat="false" ht="7.5" hidden="false" customHeight="true" outlineLevel="0" collapsed="false"/>
    <row r="48" customFormat="false" ht="18" hidden="false" customHeight="true" outlineLevel="0" collapsed="false">
      <c r="A48" s="42" t="s">
        <v>1913</v>
      </c>
      <c r="B48" s="42"/>
      <c r="C48" s="42"/>
      <c r="D48" s="42"/>
    </row>
    <row r="49" customFormat="false" ht="16.5" hidden="false" customHeight="true" outlineLevel="0" collapsed="false">
      <c r="A49" s="4" t="s">
        <v>1879</v>
      </c>
      <c r="B49" s="4" t="s">
        <v>1914</v>
      </c>
      <c r="C49" s="4"/>
      <c r="D49" s="4"/>
    </row>
    <row r="50" customFormat="false" ht="16.5" hidden="false" customHeight="true" outlineLevel="0" collapsed="false">
      <c r="A50" s="5" t="s">
        <v>1167</v>
      </c>
      <c r="B50" s="5" t="s">
        <v>1915</v>
      </c>
      <c r="C50" s="5"/>
      <c r="D50" s="5"/>
    </row>
    <row r="51" customFormat="false" ht="16.5" hidden="false" customHeight="true" outlineLevel="0" collapsed="false">
      <c r="A51" s="5" t="s">
        <v>1916</v>
      </c>
      <c r="B51" s="5" t="s">
        <v>1917</v>
      </c>
      <c r="C51" s="5"/>
      <c r="D51" s="5"/>
    </row>
    <row r="52" customFormat="false" ht="16.5" hidden="false" customHeight="true" outlineLevel="0" collapsed="false">
      <c r="A52" s="5" t="s">
        <v>1918</v>
      </c>
      <c r="B52" s="5" t="s">
        <v>1919</v>
      </c>
      <c r="C52" s="5"/>
      <c r="D52" s="5"/>
    </row>
    <row r="53" customFormat="false" ht="16.5" hidden="false" customHeight="true" outlineLevel="0" collapsed="false">
      <c r="A53" s="5" t="s">
        <v>1920</v>
      </c>
      <c r="B53" s="5" t="s">
        <v>1921</v>
      </c>
      <c r="C53" s="5"/>
      <c r="D53" s="5"/>
    </row>
    <row r="54" customFormat="false" ht="7.5" hidden="false" customHeight="true" outlineLevel="0" collapsed="false"/>
    <row r="55" customFormat="false" ht="16.5" hidden="false" customHeight="true" outlineLevel="0" collapsed="false">
      <c r="A55" s="5" t="s">
        <v>1922</v>
      </c>
      <c r="B55" s="5"/>
      <c r="C55" s="5"/>
      <c r="D55" s="5"/>
    </row>
    <row r="56" customFormat="false" ht="16.5" hidden="false" customHeight="true" outlineLevel="0" collapsed="false">
      <c r="A56" s="5" t="s">
        <v>1923</v>
      </c>
      <c r="B56" s="5"/>
      <c r="C56" s="5"/>
      <c r="D56" s="5"/>
    </row>
    <row r="57" customFormat="false" ht="16.5" hidden="false" customHeight="true" outlineLevel="0" collapsed="false">
      <c r="A57" s="5" t="s">
        <v>1924</v>
      </c>
      <c r="B57" s="5"/>
      <c r="C57" s="5"/>
      <c r="D57" s="5"/>
    </row>
    <row r="58" customFormat="false" ht="7.5" hidden="false" customHeight="true" outlineLevel="0" collapsed="false"/>
    <row r="59" customFormat="false" ht="43.5" hidden="false" customHeight="true" outlineLevel="0" collapsed="false">
      <c r="A59" s="6" t="s">
        <v>1925</v>
      </c>
      <c r="B59" s="6"/>
      <c r="C59" s="6"/>
      <c r="D59" s="6"/>
    </row>
    <row r="60" customFormat="false" ht="7.5" hidden="false" customHeight="true" outlineLevel="0" collapsed="false"/>
    <row r="61" customFormat="false" ht="16.5" hidden="false" customHeight="true" outlineLevel="0" collapsed="false">
      <c r="A61" s="7" t="s">
        <v>86</v>
      </c>
      <c r="B61" s="7"/>
      <c r="C61" s="7"/>
      <c r="D61" s="7"/>
    </row>
    <row r="62" customFormat="false" ht="16.5" hidden="false" customHeight="true" outlineLevel="0" collapsed="false">
      <c r="A62" s="8" t="s">
        <v>1926</v>
      </c>
      <c r="B62" s="8"/>
      <c r="C62" s="8"/>
      <c r="D62" s="8"/>
    </row>
    <row r="63" customFormat="false" ht="16.5" hidden="false" customHeight="true" outlineLevel="0" collapsed="false">
      <c r="A63" s="8" t="s">
        <v>1927</v>
      </c>
      <c r="B63" s="8"/>
      <c r="C63" s="8"/>
      <c r="D63" s="8"/>
    </row>
    <row r="64" customFormat="false" ht="16.5" hidden="false" customHeight="true" outlineLevel="0" collapsed="false">
      <c r="A64" s="8" t="s">
        <v>1928</v>
      </c>
      <c r="B64" s="8"/>
      <c r="C64" s="8"/>
      <c r="D64" s="8"/>
    </row>
    <row r="65" customFormat="false" ht="16.5" hidden="false" customHeight="true" outlineLevel="0" collapsed="false">
      <c r="A65" s="8" t="s">
        <v>1929</v>
      </c>
      <c r="B65" s="8"/>
      <c r="C65" s="8"/>
      <c r="D65" s="8"/>
    </row>
    <row r="66" customFormat="false" ht="16.5" hidden="false" customHeight="true" outlineLevel="0" collapsed="false">
      <c r="A66" s="8" t="s">
        <v>1930</v>
      </c>
      <c r="B66" s="8"/>
      <c r="C66" s="8"/>
      <c r="D66" s="8"/>
    </row>
    <row r="67" customFormat="false" ht="7.5" hidden="false" customHeight="true" outlineLevel="0" collapsed="false"/>
  </sheetData>
  <mergeCells count="54">
    <mergeCell ref="A1:D1"/>
    <mergeCell ref="A2:D2"/>
    <mergeCell ref="A4:D4"/>
    <mergeCell ref="B5:D5"/>
    <mergeCell ref="B6:D6"/>
    <mergeCell ref="B7:D7"/>
    <mergeCell ref="B8:D8"/>
    <mergeCell ref="A10:D10"/>
    <mergeCell ref="C11:D11"/>
    <mergeCell ref="C12:D12"/>
    <mergeCell ref="C13:D13"/>
    <mergeCell ref="C14:D14"/>
    <mergeCell ref="C15:D15"/>
    <mergeCell ref="A17:D17"/>
    <mergeCell ref="C19:D19"/>
    <mergeCell ref="C20:D20"/>
    <mergeCell ref="C21:D21"/>
    <mergeCell ref="C22:D22"/>
    <mergeCell ref="A24:D24"/>
    <mergeCell ref="A25:D25"/>
    <mergeCell ref="A26:D26"/>
    <mergeCell ref="A27:D27"/>
    <mergeCell ref="A28:D28"/>
    <mergeCell ref="A29:D29"/>
    <mergeCell ref="A30:D30"/>
    <mergeCell ref="A32:D32"/>
    <mergeCell ref="B33:D33"/>
    <mergeCell ref="B34:D34"/>
    <mergeCell ref="B35:D35"/>
    <mergeCell ref="B36:D36"/>
    <mergeCell ref="A38:D38"/>
    <mergeCell ref="A40:D40"/>
    <mergeCell ref="A41:D41"/>
    <mergeCell ref="A42:D42"/>
    <mergeCell ref="A43:D43"/>
    <mergeCell ref="A44:D44"/>
    <mergeCell ref="A45:D45"/>
    <mergeCell ref="A46:D46"/>
    <mergeCell ref="A48:D48"/>
    <mergeCell ref="B49:D49"/>
    <mergeCell ref="B50:D50"/>
    <mergeCell ref="B51:D51"/>
    <mergeCell ref="B52:D52"/>
    <mergeCell ref="B53:D53"/>
    <mergeCell ref="A55:D55"/>
    <mergeCell ref="A56:D56"/>
    <mergeCell ref="A57:D57"/>
    <mergeCell ref="A59:D59"/>
    <mergeCell ref="A61:D61"/>
    <mergeCell ref="A62:D62"/>
    <mergeCell ref="A63:D63"/>
    <mergeCell ref="A64:D64"/>
    <mergeCell ref="A65:D65"/>
    <mergeCell ref="A66:D6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2C83"/>
    <pageSetUpPr fitToPage="true"/>
  </sheetPr>
  <dimension ref="A1:D1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38"/>
  </cols>
  <sheetData>
    <row r="1" customFormat="false" ht="30" hidden="false" customHeight="true" outlineLevel="0" collapsed="false">
      <c r="A1" s="41" t="s">
        <v>1931</v>
      </c>
      <c r="B1" s="41"/>
      <c r="C1" s="41"/>
      <c r="D1" s="41"/>
    </row>
    <row r="2" customFormat="false" ht="33" hidden="false" customHeight="true" outlineLevel="0" collapsed="false">
      <c r="A2" s="2" t="s">
        <v>1932</v>
      </c>
      <c r="B2" s="2"/>
      <c r="C2" s="2"/>
      <c r="D2" s="2"/>
    </row>
    <row r="3" customFormat="false" ht="7.5" hidden="false" customHeight="true" outlineLevel="0" collapsed="false"/>
    <row r="4" customFormat="false" ht="18" hidden="false" customHeight="true" outlineLevel="0" collapsed="false">
      <c r="A4" s="42" t="s">
        <v>1933</v>
      </c>
      <c r="B4" s="42"/>
      <c r="C4" s="42"/>
      <c r="D4" s="42"/>
    </row>
    <row r="5" customFormat="false" ht="16.5" hidden="false" customHeight="true" outlineLevel="0" collapsed="false">
      <c r="A5" s="4" t="s">
        <v>16</v>
      </c>
      <c r="B5" s="4" t="s">
        <v>1934</v>
      </c>
      <c r="C5" s="4" t="s">
        <v>1431</v>
      </c>
      <c r="D5" s="4"/>
    </row>
    <row r="6" customFormat="false" ht="43.5" hidden="false" customHeight="true" outlineLevel="0" collapsed="false">
      <c r="A6" s="5" t="s">
        <v>1000</v>
      </c>
      <c r="B6" s="5" t="s">
        <v>1935</v>
      </c>
      <c r="C6" s="5" t="s">
        <v>1936</v>
      </c>
      <c r="D6" s="5"/>
    </row>
    <row r="7" customFormat="false" ht="30" hidden="false" customHeight="true" outlineLevel="0" collapsed="false">
      <c r="A7" s="5" t="s">
        <v>1004</v>
      </c>
      <c r="B7" s="5" t="s">
        <v>1937</v>
      </c>
      <c r="C7" s="5" t="s">
        <v>1938</v>
      </c>
      <c r="D7" s="5"/>
    </row>
    <row r="8" customFormat="false" ht="30" hidden="false" customHeight="true" outlineLevel="0" collapsed="false">
      <c r="A8" s="5" t="s">
        <v>1008</v>
      </c>
      <c r="B8" s="5" t="s">
        <v>1939</v>
      </c>
      <c r="C8" s="5"/>
      <c r="D8" s="5"/>
    </row>
    <row r="9" customFormat="false" ht="69.75" hidden="false" customHeight="true" outlineLevel="0" collapsed="false">
      <c r="A9" s="5" t="s">
        <v>1012</v>
      </c>
      <c r="B9" s="5" t="s">
        <v>1940</v>
      </c>
      <c r="C9" s="5" t="s">
        <v>1941</v>
      </c>
      <c r="D9" s="5"/>
    </row>
    <row r="10" customFormat="false" ht="16.5" hidden="false" customHeight="true" outlineLevel="0" collapsed="false">
      <c r="A10" s="5" t="s">
        <v>1016</v>
      </c>
      <c r="B10" s="5" t="s">
        <v>1942</v>
      </c>
      <c r="C10" s="5"/>
      <c r="D10" s="5"/>
    </row>
    <row r="11" customFormat="false" ht="43.5" hidden="false" customHeight="true" outlineLevel="0" collapsed="false">
      <c r="A11" s="5" t="s">
        <v>1020</v>
      </c>
      <c r="B11" s="5" t="s">
        <v>1943</v>
      </c>
      <c r="C11" s="5" t="s">
        <v>1944</v>
      </c>
      <c r="D11" s="5"/>
    </row>
    <row r="12" customFormat="false" ht="7.5" hidden="false" customHeight="true" outlineLevel="0" collapsed="false"/>
    <row r="13" customFormat="false" ht="18" hidden="false" customHeight="true" outlineLevel="0" collapsed="false">
      <c r="A13" s="42" t="s">
        <v>1945</v>
      </c>
      <c r="B13" s="42"/>
      <c r="C13" s="42"/>
      <c r="D13" s="42"/>
    </row>
    <row r="14" customFormat="false" ht="16.5" hidden="false" customHeight="true" outlineLevel="0" collapsed="false">
      <c r="A14" s="4" t="s">
        <v>1477</v>
      </c>
      <c r="B14" s="4" t="s">
        <v>1456</v>
      </c>
      <c r="C14" s="4"/>
      <c r="D14" s="4"/>
    </row>
    <row r="15" customFormat="false" ht="16.5" hidden="false" customHeight="true" outlineLevel="0" collapsed="false">
      <c r="A15" s="5" t="s">
        <v>1946</v>
      </c>
      <c r="B15" s="5"/>
      <c r="C15" s="5"/>
      <c r="D15" s="5"/>
    </row>
    <row r="16" customFormat="false" ht="43.5" hidden="false" customHeight="true" outlineLevel="0" collapsed="false">
      <c r="A16" s="5" t="s">
        <v>1947</v>
      </c>
      <c r="B16" s="5" t="s">
        <v>1948</v>
      </c>
      <c r="C16" s="5"/>
      <c r="D16" s="5"/>
    </row>
    <row r="17" customFormat="false" ht="30" hidden="false" customHeight="true" outlineLevel="0" collapsed="false">
      <c r="A17" s="5" t="s">
        <v>1949</v>
      </c>
      <c r="B17" s="5"/>
      <c r="C17" s="5"/>
      <c r="D17" s="5"/>
    </row>
    <row r="18" customFormat="false" ht="16.5" hidden="false" customHeight="true" outlineLevel="0" collapsed="false">
      <c r="A18" s="5" t="s">
        <v>1950</v>
      </c>
      <c r="B18" s="5"/>
      <c r="C18" s="5"/>
      <c r="D18" s="5"/>
    </row>
    <row r="19" customFormat="false" ht="30" hidden="false" customHeight="true" outlineLevel="0" collapsed="false">
      <c r="A19" s="5" t="s">
        <v>1951</v>
      </c>
      <c r="B19" s="5"/>
      <c r="C19" s="5"/>
      <c r="D19" s="5"/>
    </row>
    <row r="20" customFormat="false" ht="30" hidden="false" customHeight="true" outlineLevel="0" collapsed="false">
      <c r="A20" s="5" t="s">
        <v>1952</v>
      </c>
      <c r="B20" s="5"/>
      <c r="C20" s="5"/>
      <c r="D20" s="5"/>
    </row>
    <row r="21" customFormat="false" ht="69.75" hidden="false" customHeight="true" outlineLevel="0" collapsed="false">
      <c r="A21" s="5" t="s">
        <v>1953</v>
      </c>
      <c r="B21" s="5" t="s">
        <v>1954</v>
      </c>
      <c r="C21" s="5"/>
      <c r="D21" s="5"/>
    </row>
    <row r="22" customFormat="false" ht="30" hidden="false" customHeight="true" outlineLevel="0" collapsed="false">
      <c r="A22" s="5" t="s">
        <v>1955</v>
      </c>
      <c r="B22" s="5"/>
      <c r="C22" s="5"/>
      <c r="D22" s="5"/>
    </row>
    <row r="23" customFormat="false" ht="7.5" hidden="false" customHeight="true" outlineLevel="0" collapsed="false"/>
    <row r="24" customFormat="false" ht="18" hidden="false" customHeight="true" outlineLevel="0" collapsed="false">
      <c r="A24" s="42" t="s">
        <v>1956</v>
      </c>
      <c r="B24" s="42"/>
      <c r="C24" s="42"/>
      <c r="D24" s="42"/>
    </row>
    <row r="25" customFormat="false" ht="16.5" hidden="false" customHeight="true" outlineLevel="0" collapsed="false">
      <c r="A25" s="5" t="s">
        <v>1957</v>
      </c>
      <c r="B25" s="5"/>
      <c r="C25" s="5"/>
      <c r="D25" s="5"/>
    </row>
    <row r="26" customFormat="false" ht="16.5" hidden="false" customHeight="true" outlineLevel="0" collapsed="false">
      <c r="A26" s="5" t="s">
        <v>1958</v>
      </c>
      <c r="B26" s="5"/>
      <c r="C26" s="5"/>
      <c r="D26" s="5"/>
    </row>
    <row r="27" customFormat="false" ht="16.5" hidden="false" customHeight="true" outlineLevel="0" collapsed="false">
      <c r="A27" s="5" t="s">
        <v>1959</v>
      </c>
      <c r="B27" s="5"/>
      <c r="C27" s="5"/>
      <c r="D27" s="5"/>
    </row>
    <row r="28" customFormat="false" ht="30" hidden="false" customHeight="true" outlineLevel="0" collapsed="false">
      <c r="A28" s="5" t="s">
        <v>1960</v>
      </c>
      <c r="B28" s="5"/>
      <c r="C28" s="5"/>
      <c r="D28" s="5"/>
    </row>
    <row r="29" customFormat="false" ht="7.5" hidden="false" customHeight="true" outlineLevel="0" collapsed="false"/>
    <row r="30" customFormat="false" ht="18" hidden="false" customHeight="true" outlineLevel="0" collapsed="false">
      <c r="A30" s="42" t="s">
        <v>1961</v>
      </c>
      <c r="B30" s="42"/>
      <c r="C30" s="42"/>
      <c r="D30" s="42"/>
    </row>
    <row r="31" customFormat="false" ht="16.5" hidden="false" customHeight="true" outlineLevel="0" collapsed="false">
      <c r="A31" s="4" t="s">
        <v>1962</v>
      </c>
      <c r="B31" s="4" t="s">
        <v>1963</v>
      </c>
      <c r="C31" s="4"/>
      <c r="D31" s="4"/>
    </row>
    <row r="32" customFormat="false" ht="43.5" hidden="false" customHeight="true" outlineLevel="0" collapsed="false">
      <c r="A32" s="5" t="s">
        <v>1964</v>
      </c>
      <c r="B32" s="5" t="s">
        <v>1965</v>
      </c>
      <c r="C32" s="5"/>
      <c r="D32" s="5"/>
    </row>
    <row r="33" customFormat="false" ht="30" hidden="false" customHeight="true" outlineLevel="0" collapsed="false">
      <c r="A33" s="5" t="s">
        <v>1966</v>
      </c>
      <c r="B33" s="5"/>
      <c r="C33" s="5"/>
      <c r="D33" s="5"/>
    </row>
    <row r="34" customFormat="false" ht="30" hidden="false" customHeight="true" outlineLevel="0" collapsed="false">
      <c r="A34" s="5" t="s">
        <v>1967</v>
      </c>
      <c r="B34" s="5"/>
      <c r="C34" s="5"/>
      <c r="D34" s="5"/>
    </row>
    <row r="35" customFormat="false" ht="30" hidden="false" customHeight="true" outlineLevel="0" collapsed="false">
      <c r="A35" s="5" t="s">
        <v>1968</v>
      </c>
      <c r="B35" s="5"/>
      <c r="C35" s="5"/>
      <c r="D35" s="5"/>
    </row>
    <row r="36" customFormat="false" ht="30" hidden="false" customHeight="true" outlineLevel="0" collapsed="false">
      <c r="A36" s="5" t="s">
        <v>1969</v>
      </c>
      <c r="B36" s="5" t="s">
        <v>1970</v>
      </c>
      <c r="C36" s="5"/>
      <c r="D36" s="5"/>
    </row>
    <row r="37" customFormat="false" ht="16.5" hidden="false" customHeight="true" outlineLevel="0" collapsed="false">
      <c r="A37" s="5" t="s">
        <v>1971</v>
      </c>
      <c r="B37" s="5"/>
      <c r="C37" s="5"/>
      <c r="D37" s="5"/>
    </row>
    <row r="38" customFormat="false" ht="16.5" hidden="false" customHeight="true" outlineLevel="0" collapsed="false">
      <c r="A38" s="5" t="s">
        <v>1972</v>
      </c>
      <c r="B38" s="5" t="s">
        <v>1973</v>
      </c>
      <c r="C38" s="5"/>
      <c r="D38" s="5"/>
    </row>
    <row r="39" customFormat="false" ht="7.5" hidden="false" customHeight="true" outlineLevel="0" collapsed="false"/>
    <row r="40" customFormat="false" ht="18" hidden="false" customHeight="true" outlineLevel="0" collapsed="false">
      <c r="A40" s="42" t="s">
        <v>1974</v>
      </c>
      <c r="B40" s="42"/>
      <c r="C40" s="42"/>
      <c r="D40" s="42"/>
    </row>
    <row r="41" customFormat="false" ht="16.5" hidden="false" customHeight="true" outlineLevel="0" collapsed="false">
      <c r="A41" s="4" t="s">
        <v>1962</v>
      </c>
      <c r="B41" s="4" t="s">
        <v>122</v>
      </c>
      <c r="C41" s="4"/>
      <c r="D41" s="4"/>
    </row>
    <row r="42" customFormat="false" ht="43.5" hidden="false" customHeight="true" outlineLevel="0" collapsed="false">
      <c r="A42" s="5" t="s">
        <v>1975</v>
      </c>
      <c r="B42" s="5" t="s">
        <v>1976</v>
      </c>
      <c r="C42" s="5"/>
      <c r="D42" s="5"/>
    </row>
    <row r="43" customFormat="false" ht="16.5" hidden="false" customHeight="true" outlineLevel="0" collapsed="false">
      <c r="A43" s="5" t="s">
        <v>1977</v>
      </c>
      <c r="B43" s="5" t="s">
        <v>1978</v>
      </c>
      <c r="C43" s="5"/>
      <c r="D43" s="5"/>
    </row>
    <row r="44" customFormat="false" ht="30" hidden="false" customHeight="true" outlineLevel="0" collapsed="false">
      <c r="A44" s="5" t="s">
        <v>1979</v>
      </c>
      <c r="B44" s="5" t="s">
        <v>1980</v>
      </c>
      <c r="C44" s="5"/>
      <c r="D44" s="5"/>
    </row>
    <row r="45" customFormat="false" ht="30" hidden="false" customHeight="true" outlineLevel="0" collapsed="false">
      <c r="A45" s="5" t="s">
        <v>1981</v>
      </c>
      <c r="B45" s="5" t="s">
        <v>1982</v>
      </c>
      <c r="C45" s="5"/>
      <c r="D45" s="5"/>
    </row>
    <row r="46" customFormat="false" ht="7.5" hidden="false" customHeight="true" outlineLevel="0" collapsed="false"/>
    <row r="47" customFormat="false" ht="18" hidden="false" customHeight="true" outlineLevel="0" collapsed="false">
      <c r="A47" s="42" t="s">
        <v>1983</v>
      </c>
      <c r="B47" s="42"/>
      <c r="C47" s="42"/>
      <c r="D47" s="42"/>
    </row>
    <row r="48" customFormat="false" ht="16.5" hidden="false" customHeight="true" outlineLevel="0" collapsed="false">
      <c r="A48" s="4" t="s">
        <v>1572</v>
      </c>
      <c r="B48" s="4" t="s">
        <v>1431</v>
      </c>
      <c r="C48" s="4"/>
      <c r="D48" s="4"/>
    </row>
    <row r="49" customFormat="false" ht="241.5" hidden="false" customHeight="true" outlineLevel="0" collapsed="false">
      <c r="A49" s="5" t="s">
        <v>1984</v>
      </c>
      <c r="B49" s="5" t="s">
        <v>1985</v>
      </c>
      <c r="C49" s="5"/>
      <c r="D49" s="5"/>
    </row>
    <row r="50" customFormat="false" ht="7.5" hidden="false" customHeight="true" outlineLevel="0" collapsed="false"/>
    <row r="51" customFormat="false" ht="30" hidden="false" customHeight="true" outlineLevel="0" collapsed="false">
      <c r="A51" s="4" t="s">
        <v>1986</v>
      </c>
      <c r="B51" s="4" t="s">
        <v>1987</v>
      </c>
      <c r="C51" s="4" t="s">
        <v>991</v>
      </c>
      <c r="D51" s="4"/>
    </row>
    <row r="52" customFormat="false" ht="16.5" hidden="false" customHeight="true" outlineLevel="0" collapsed="false">
      <c r="A52" s="5" t="s">
        <v>1988</v>
      </c>
      <c r="B52" s="5" t="s">
        <v>1435</v>
      </c>
      <c r="C52" s="9" t="s">
        <v>1989</v>
      </c>
      <c r="D52" s="9"/>
    </row>
    <row r="53" customFormat="false" ht="16.5" hidden="false" customHeight="true" outlineLevel="0" collapsed="false">
      <c r="A53" s="5" t="s">
        <v>1435</v>
      </c>
      <c r="B53" s="5" t="s">
        <v>1440</v>
      </c>
      <c r="C53" s="9" t="s">
        <v>1990</v>
      </c>
      <c r="D53" s="9"/>
    </row>
    <row r="54" customFormat="false" ht="16.5" hidden="false" customHeight="true" outlineLevel="0" collapsed="false">
      <c r="A54" s="5" t="s">
        <v>1440</v>
      </c>
      <c r="B54" s="5" t="s">
        <v>1991</v>
      </c>
      <c r="C54" s="9" t="s">
        <v>1992</v>
      </c>
      <c r="D54" s="9"/>
    </row>
    <row r="55" customFormat="false" ht="16.5" hidden="false" customHeight="true" outlineLevel="0" collapsed="false">
      <c r="A55" s="5" t="s">
        <v>1991</v>
      </c>
      <c r="B55" s="5" t="s">
        <v>1993</v>
      </c>
      <c r="C55" s="9" t="s">
        <v>134</v>
      </c>
      <c r="D55" s="9"/>
    </row>
    <row r="56" customFormat="false" ht="16.5" hidden="false" customHeight="true" outlineLevel="0" collapsed="false">
      <c r="A56" s="5" t="s">
        <v>1993</v>
      </c>
      <c r="B56" s="5" t="s">
        <v>1994</v>
      </c>
      <c r="C56" s="9" t="s">
        <v>211</v>
      </c>
      <c r="D56" s="9"/>
    </row>
    <row r="57" customFormat="false" ht="7.5" hidden="false" customHeight="true" outlineLevel="0" collapsed="false"/>
    <row r="58" customFormat="false" ht="16.5" hidden="false" customHeight="true" outlineLevel="0" collapsed="false">
      <c r="A58" s="4" t="s">
        <v>1995</v>
      </c>
      <c r="B58" s="4" t="s">
        <v>1456</v>
      </c>
      <c r="C58" s="4"/>
      <c r="D58" s="4"/>
    </row>
    <row r="59" customFormat="false" ht="16.5" hidden="false" customHeight="true" outlineLevel="0" collapsed="false">
      <c r="A59" s="5" t="s">
        <v>1996</v>
      </c>
      <c r="B59" s="5" t="s">
        <v>1997</v>
      </c>
      <c r="C59" s="5"/>
      <c r="D59" s="5"/>
    </row>
    <row r="60" customFormat="false" ht="16.5" hidden="false" customHeight="true" outlineLevel="0" collapsed="false">
      <c r="A60" s="5" t="s">
        <v>1998</v>
      </c>
      <c r="B60" s="5" t="s">
        <v>1999</v>
      </c>
      <c r="C60" s="5"/>
      <c r="D60" s="5"/>
    </row>
    <row r="61" customFormat="false" ht="30" hidden="false" customHeight="true" outlineLevel="0" collapsed="false">
      <c r="A61" s="5" t="s">
        <v>2000</v>
      </c>
      <c r="B61" s="5" t="s">
        <v>2001</v>
      </c>
      <c r="C61" s="5"/>
      <c r="D61" s="5"/>
    </row>
    <row r="62" customFormat="false" ht="16.5" hidden="false" customHeight="true" outlineLevel="0" collapsed="false">
      <c r="A62" s="5" t="s">
        <v>2002</v>
      </c>
      <c r="B62" s="5" t="s">
        <v>2003</v>
      </c>
      <c r="C62" s="5"/>
      <c r="D62" s="5"/>
    </row>
    <row r="63" customFormat="false" ht="7.5" hidden="false" customHeight="true" outlineLevel="0" collapsed="false"/>
    <row r="64" customFormat="false" ht="16.5" hidden="false" customHeight="true" outlineLevel="0" collapsed="false">
      <c r="A64" s="10" t="s">
        <v>2004</v>
      </c>
      <c r="B64" s="10"/>
      <c r="C64" s="10"/>
      <c r="D64" s="10"/>
    </row>
    <row r="65" customFormat="false" ht="7.5" hidden="false" customHeight="true" outlineLevel="0" collapsed="false"/>
    <row r="66" customFormat="false" ht="18" hidden="false" customHeight="true" outlineLevel="0" collapsed="false">
      <c r="A66" s="42" t="s">
        <v>2005</v>
      </c>
      <c r="B66" s="42"/>
      <c r="C66" s="42"/>
      <c r="D66" s="42"/>
    </row>
    <row r="67" customFormat="false" ht="16.5" hidden="false" customHeight="true" outlineLevel="0" collapsed="false">
      <c r="A67" s="4" t="s">
        <v>2006</v>
      </c>
      <c r="B67" s="4" t="s">
        <v>1422</v>
      </c>
      <c r="C67" s="4"/>
      <c r="D67" s="4"/>
    </row>
    <row r="68" customFormat="false" ht="30" hidden="false" customHeight="true" outlineLevel="0" collapsed="false">
      <c r="A68" s="5" t="s">
        <v>2007</v>
      </c>
      <c r="B68" s="5" t="s">
        <v>2008</v>
      </c>
      <c r="C68" s="5"/>
      <c r="D68" s="5"/>
    </row>
    <row r="69" customFormat="false" ht="30" hidden="false" customHeight="true" outlineLevel="0" collapsed="false">
      <c r="A69" s="5" t="s">
        <v>2009</v>
      </c>
      <c r="B69" s="5" t="s">
        <v>2010</v>
      </c>
      <c r="C69" s="5"/>
      <c r="D69" s="5"/>
    </row>
    <row r="70" customFormat="false" ht="30" hidden="false" customHeight="true" outlineLevel="0" collapsed="false">
      <c r="A70" s="5" t="s">
        <v>2011</v>
      </c>
      <c r="B70" s="5" t="s">
        <v>2012</v>
      </c>
      <c r="C70" s="5"/>
      <c r="D70" s="5"/>
    </row>
    <row r="71" customFormat="false" ht="7.5" hidden="false" customHeight="true" outlineLevel="0" collapsed="false"/>
    <row r="72" customFormat="false" ht="16.5" hidden="false" customHeight="true" outlineLevel="0" collapsed="false">
      <c r="A72" s="4" t="s">
        <v>1879</v>
      </c>
      <c r="B72" s="4" t="s">
        <v>2013</v>
      </c>
      <c r="C72" s="4" t="s">
        <v>2014</v>
      </c>
      <c r="D72" s="4"/>
    </row>
    <row r="73" customFormat="false" ht="30" hidden="false" customHeight="true" outlineLevel="0" collapsed="false">
      <c r="A73" s="5" t="s">
        <v>2015</v>
      </c>
      <c r="B73" s="5" t="s">
        <v>2016</v>
      </c>
      <c r="C73" s="5" t="s">
        <v>2017</v>
      </c>
      <c r="D73" s="5"/>
    </row>
    <row r="74" customFormat="false" ht="30" hidden="false" customHeight="true" outlineLevel="0" collapsed="false">
      <c r="A74" s="5" t="s">
        <v>2018</v>
      </c>
      <c r="B74" s="5" t="s">
        <v>2016</v>
      </c>
      <c r="C74" s="5" t="s">
        <v>2017</v>
      </c>
      <c r="D74" s="5"/>
    </row>
    <row r="75" customFormat="false" ht="56.25" hidden="false" customHeight="true" outlineLevel="0" collapsed="false">
      <c r="A75" s="5" t="s">
        <v>2019</v>
      </c>
      <c r="B75" s="5" t="s">
        <v>2016</v>
      </c>
      <c r="C75" s="5" t="s">
        <v>2016</v>
      </c>
      <c r="D75" s="5"/>
    </row>
    <row r="76" customFormat="false" ht="30" hidden="false" customHeight="true" outlineLevel="0" collapsed="false">
      <c r="A76" s="5" t="s">
        <v>2020</v>
      </c>
      <c r="B76" s="5" t="s">
        <v>2016</v>
      </c>
      <c r="C76" s="5" t="s">
        <v>2016</v>
      </c>
      <c r="D76" s="5"/>
    </row>
    <row r="77" customFormat="false" ht="30" hidden="false" customHeight="true" outlineLevel="0" collapsed="false">
      <c r="A77" s="5" t="s">
        <v>2021</v>
      </c>
      <c r="B77" s="5" t="s">
        <v>2022</v>
      </c>
      <c r="C77" s="5" t="s">
        <v>2017</v>
      </c>
      <c r="D77" s="5"/>
    </row>
    <row r="78" customFormat="false" ht="30" hidden="false" customHeight="true" outlineLevel="0" collapsed="false">
      <c r="A78" s="5" t="s">
        <v>2023</v>
      </c>
      <c r="B78" s="5" t="s">
        <v>2016</v>
      </c>
      <c r="C78" s="5" t="s">
        <v>2016</v>
      </c>
      <c r="D78" s="5"/>
    </row>
    <row r="79" customFormat="false" ht="43.5" hidden="false" customHeight="true" outlineLevel="0" collapsed="false">
      <c r="A79" s="5" t="s">
        <v>2024</v>
      </c>
      <c r="B79" s="5" t="s">
        <v>2022</v>
      </c>
      <c r="C79" s="5" t="s">
        <v>2017</v>
      </c>
      <c r="D79" s="5"/>
    </row>
    <row r="80" customFormat="false" ht="30" hidden="false" customHeight="true" outlineLevel="0" collapsed="false">
      <c r="A80" s="5" t="s">
        <v>2025</v>
      </c>
      <c r="B80" s="5" t="s">
        <v>2022</v>
      </c>
      <c r="C80" s="5" t="s">
        <v>2016</v>
      </c>
      <c r="D80" s="5"/>
    </row>
    <row r="81" customFormat="false" ht="43.5" hidden="false" customHeight="true" outlineLevel="0" collapsed="false">
      <c r="A81" s="5" t="s">
        <v>2026</v>
      </c>
      <c r="B81" s="5" t="s">
        <v>2022</v>
      </c>
      <c r="C81" s="5" t="s">
        <v>2017</v>
      </c>
      <c r="D81" s="5"/>
    </row>
    <row r="82" customFormat="false" ht="43.5" hidden="false" customHeight="true" outlineLevel="0" collapsed="false">
      <c r="A82" s="5" t="s">
        <v>2027</v>
      </c>
      <c r="B82" s="5" t="s">
        <v>2016</v>
      </c>
      <c r="C82" s="5" t="s">
        <v>2028</v>
      </c>
      <c r="D82" s="5"/>
    </row>
    <row r="83" customFormat="false" ht="7.5" hidden="false" customHeight="true" outlineLevel="0" collapsed="false"/>
    <row r="84" customFormat="false" ht="30" hidden="false" customHeight="true" outlineLevel="0" collapsed="false">
      <c r="A84" s="10" t="s">
        <v>2029</v>
      </c>
      <c r="B84" s="10"/>
      <c r="C84" s="10"/>
      <c r="D84" s="10"/>
    </row>
    <row r="85" customFormat="false" ht="7.5" hidden="false" customHeight="true" outlineLevel="0" collapsed="false"/>
    <row r="86" customFormat="false" ht="18" hidden="false" customHeight="true" outlineLevel="0" collapsed="false">
      <c r="A86" s="42" t="s">
        <v>2030</v>
      </c>
      <c r="B86" s="42"/>
      <c r="C86" s="42"/>
      <c r="D86" s="42"/>
    </row>
    <row r="87" customFormat="false" ht="16.5" hidden="false" customHeight="true" outlineLevel="0" collapsed="false">
      <c r="A87" s="4" t="s">
        <v>1879</v>
      </c>
      <c r="B87" s="4" t="s">
        <v>2031</v>
      </c>
      <c r="C87" s="4"/>
      <c r="D87" s="4"/>
    </row>
    <row r="88" customFormat="false" ht="16.5" hidden="false" customHeight="true" outlineLevel="0" collapsed="false">
      <c r="A88" s="5" t="s">
        <v>1167</v>
      </c>
      <c r="B88" s="5" t="s">
        <v>1915</v>
      </c>
      <c r="C88" s="5"/>
      <c r="D88" s="5"/>
    </row>
    <row r="89" customFormat="false" ht="16.5" hidden="false" customHeight="true" outlineLevel="0" collapsed="false">
      <c r="A89" s="5" t="s">
        <v>1916</v>
      </c>
      <c r="B89" s="5" t="s">
        <v>1917</v>
      </c>
      <c r="C89" s="5"/>
      <c r="D89" s="5"/>
    </row>
    <row r="90" customFormat="false" ht="16.5" hidden="false" customHeight="true" outlineLevel="0" collapsed="false">
      <c r="A90" s="5" t="s">
        <v>1918</v>
      </c>
      <c r="B90" s="5" t="s">
        <v>2032</v>
      </c>
      <c r="C90" s="5"/>
      <c r="D90" s="5"/>
    </row>
    <row r="91" customFormat="false" ht="16.5" hidden="false" customHeight="true" outlineLevel="0" collapsed="false">
      <c r="A91" s="5" t="s">
        <v>1920</v>
      </c>
      <c r="B91" s="5" t="s">
        <v>1921</v>
      </c>
      <c r="C91" s="5"/>
      <c r="D91" s="5"/>
    </row>
    <row r="92" customFormat="false" ht="7.5" hidden="false" customHeight="true" outlineLevel="0" collapsed="false"/>
    <row r="93" customFormat="false" ht="43.5" hidden="false" customHeight="true" outlineLevel="0" collapsed="false">
      <c r="A93" s="6" t="s">
        <v>2033</v>
      </c>
      <c r="B93" s="6"/>
      <c r="C93" s="6"/>
      <c r="D93" s="6"/>
    </row>
    <row r="94" customFormat="false" ht="7.5" hidden="false" customHeight="true" outlineLevel="0" collapsed="false"/>
    <row r="95" customFormat="false" ht="16.5" hidden="false" customHeight="true" outlineLevel="0" collapsed="false">
      <c r="A95" s="7" t="s">
        <v>86</v>
      </c>
      <c r="B95" s="7"/>
      <c r="C95" s="7"/>
      <c r="D95" s="7"/>
    </row>
    <row r="96" customFormat="false" ht="16.5" hidden="false" customHeight="true" outlineLevel="0" collapsed="false">
      <c r="A96" s="8" t="s">
        <v>2034</v>
      </c>
      <c r="B96" s="8"/>
      <c r="C96" s="8"/>
      <c r="D96" s="8"/>
    </row>
    <row r="97" customFormat="false" ht="16.5" hidden="false" customHeight="true" outlineLevel="0" collapsed="false">
      <c r="A97" s="8" t="s">
        <v>2035</v>
      </c>
      <c r="B97" s="8"/>
      <c r="C97" s="8"/>
      <c r="D97" s="8"/>
    </row>
    <row r="98" customFormat="false" ht="16.5" hidden="false" customHeight="true" outlineLevel="0" collapsed="false">
      <c r="A98" s="8" t="s">
        <v>2036</v>
      </c>
      <c r="B98" s="8"/>
      <c r="C98" s="8"/>
      <c r="D98" s="8"/>
    </row>
    <row r="99" customFormat="false" ht="16.5" hidden="false" customHeight="true" outlineLevel="0" collapsed="false">
      <c r="A99" s="8" t="s">
        <v>2037</v>
      </c>
      <c r="B99" s="8"/>
      <c r="C99" s="8"/>
      <c r="D99" s="8"/>
    </row>
    <row r="100" customFormat="false" ht="16.5" hidden="false" customHeight="true" outlineLevel="0" collapsed="false">
      <c r="A100" s="8" t="s">
        <v>2038</v>
      </c>
      <c r="B100" s="8"/>
      <c r="C100" s="8"/>
      <c r="D100" s="8"/>
    </row>
    <row r="101" customFormat="false" ht="7.5" hidden="false" customHeight="true" outlineLevel="0" collapsed="false"/>
  </sheetData>
  <mergeCells count="85">
    <mergeCell ref="A1:D1"/>
    <mergeCell ref="A2:D2"/>
    <mergeCell ref="A4:D4"/>
    <mergeCell ref="C5:D5"/>
    <mergeCell ref="C6:D6"/>
    <mergeCell ref="C7:D7"/>
    <mergeCell ref="C8:D8"/>
    <mergeCell ref="C9:D9"/>
    <mergeCell ref="C10:D10"/>
    <mergeCell ref="C11:D11"/>
    <mergeCell ref="A13:D13"/>
    <mergeCell ref="B14:D14"/>
    <mergeCell ref="B15:D15"/>
    <mergeCell ref="B16:D16"/>
    <mergeCell ref="B17:D17"/>
    <mergeCell ref="B18:D18"/>
    <mergeCell ref="B19:D19"/>
    <mergeCell ref="B20:D20"/>
    <mergeCell ref="B21:D21"/>
    <mergeCell ref="B22:D22"/>
    <mergeCell ref="A24:D24"/>
    <mergeCell ref="A25:D25"/>
    <mergeCell ref="A26:D26"/>
    <mergeCell ref="A27:D27"/>
    <mergeCell ref="A28:D28"/>
    <mergeCell ref="A30:D30"/>
    <mergeCell ref="B31:D31"/>
    <mergeCell ref="B32:D32"/>
    <mergeCell ref="B33:D33"/>
    <mergeCell ref="B34:D34"/>
    <mergeCell ref="B35:D35"/>
    <mergeCell ref="B36:D36"/>
    <mergeCell ref="B37:D37"/>
    <mergeCell ref="B38:D38"/>
    <mergeCell ref="A40:D40"/>
    <mergeCell ref="B41:D41"/>
    <mergeCell ref="B42:D42"/>
    <mergeCell ref="B43:D43"/>
    <mergeCell ref="B44:D44"/>
    <mergeCell ref="B45:D45"/>
    <mergeCell ref="A47:D47"/>
    <mergeCell ref="B48:D48"/>
    <mergeCell ref="B49:D49"/>
    <mergeCell ref="C51:D51"/>
    <mergeCell ref="C52:D52"/>
    <mergeCell ref="C53:D53"/>
    <mergeCell ref="C54:D54"/>
    <mergeCell ref="C55:D55"/>
    <mergeCell ref="C56:D56"/>
    <mergeCell ref="B58:D58"/>
    <mergeCell ref="B59:D59"/>
    <mergeCell ref="B60:D60"/>
    <mergeCell ref="B61:D61"/>
    <mergeCell ref="B62:D62"/>
    <mergeCell ref="A64:D64"/>
    <mergeCell ref="A66:D66"/>
    <mergeCell ref="B67:D67"/>
    <mergeCell ref="B68:D68"/>
    <mergeCell ref="B69:D69"/>
    <mergeCell ref="B70:D70"/>
    <mergeCell ref="C72:D72"/>
    <mergeCell ref="C73:D73"/>
    <mergeCell ref="C74:D74"/>
    <mergeCell ref="C75:D75"/>
    <mergeCell ref="C76:D76"/>
    <mergeCell ref="C77:D77"/>
    <mergeCell ref="C78:D78"/>
    <mergeCell ref="C79:D79"/>
    <mergeCell ref="C80:D80"/>
    <mergeCell ref="C81:D81"/>
    <mergeCell ref="C82:D82"/>
    <mergeCell ref="A84:D84"/>
    <mergeCell ref="A86:D86"/>
    <mergeCell ref="B87:D87"/>
    <mergeCell ref="B88:D88"/>
    <mergeCell ref="B89:D89"/>
    <mergeCell ref="B90:D90"/>
    <mergeCell ref="B91:D91"/>
    <mergeCell ref="A93:D93"/>
    <mergeCell ref="A95:D95"/>
    <mergeCell ref="A96:D96"/>
    <mergeCell ref="A97:D97"/>
    <mergeCell ref="A98:D98"/>
    <mergeCell ref="A99:D99"/>
    <mergeCell ref="A100:D10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5470B"/>
    <pageSetUpPr fitToPage="true"/>
  </sheetPr>
  <dimension ref="A1:D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38"/>
  </cols>
  <sheetData>
    <row r="1" customFormat="false" ht="30" hidden="false" customHeight="true" outlineLevel="0" collapsed="false">
      <c r="A1" s="43" t="s">
        <v>2039</v>
      </c>
      <c r="B1" s="43"/>
      <c r="C1" s="43"/>
      <c r="D1" s="43"/>
    </row>
    <row r="2" customFormat="false" ht="33" hidden="false" customHeight="true" outlineLevel="0" collapsed="false">
      <c r="A2" s="2" t="s">
        <v>2040</v>
      </c>
      <c r="B2" s="2"/>
      <c r="C2" s="2"/>
      <c r="D2" s="2"/>
    </row>
    <row r="3" customFormat="false" ht="7.5" hidden="false" customHeight="true" outlineLevel="0" collapsed="false"/>
    <row r="4" customFormat="false" ht="18" hidden="false" customHeight="true" outlineLevel="0" collapsed="false">
      <c r="A4" s="44" t="s">
        <v>2041</v>
      </c>
      <c r="B4" s="44"/>
      <c r="C4" s="44"/>
      <c r="D4" s="44"/>
    </row>
    <row r="5" customFormat="false" ht="16.5" hidden="false" customHeight="true" outlineLevel="0" collapsed="false">
      <c r="A5" s="4" t="s">
        <v>1250</v>
      </c>
      <c r="B5" s="4" t="s">
        <v>2042</v>
      </c>
      <c r="C5" s="4" t="s">
        <v>2043</v>
      </c>
      <c r="D5" s="4" t="s">
        <v>98</v>
      </c>
    </row>
    <row r="6" customFormat="false" ht="16.5" hidden="false" customHeight="true" outlineLevel="0" collapsed="false">
      <c r="A6" s="5" t="s">
        <v>2044</v>
      </c>
      <c r="B6" s="5" t="s">
        <v>2045</v>
      </c>
      <c r="C6" s="5" t="s">
        <v>2046</v>
      </c>
      <c r="D6" s="5" t="s">
        <v>2047</v>
      </c>
    </row>
    <row r="7" customFormat="false" ht="30" hidden="false" customHeight="true" outlineLevel="0" collapsed="false">
      <c r="A7" s="5" t="s">
        <v>2048</v>
      </c>
      <c r="B7" s="5" t="s">
        <v>2049</v>
      </c>
      <c r="C7" s="5" t="s">
        <v>2050</v>
      </c>
      <c r="D7" s="5" t="s">
        <v>2051</v>
      </c>
    </row>
    <row r="8" customFormat="false" ht="30" hidden="false" customHeight="true" outlineLevel="0" collapsed="false">
      <c r="A8" s="5" t="s">
        <v>2052</v>
      </c>
      <c r="B8" s="5" t="s">
        <v>1774</v>
      </c>
      <c r="C8" s="5" t="s">
        <v>2053</v>
      </c>
      <c r="D8" s="5" t="s">
        <v>2054</v>
      </c>
    </row>
    <row r="9" customFormat="false" ht="7.5" hidden="false" customHeight="true" outlineLevel="0" collapsed="false"/>
    <row r="10" customFormat="false" ht="16.5" hidden="false" customHeight="true" outlineLevel="0" collapsed="false">
      <c r="A10" s="35" t="s">
        <v>2055</v>
      </c>
      <c r="B10" s="35"/>
      <c r="C10" s="35"/>
      <c r="D10" s="35"/>
    </row>
    <row r="11" customFormat="false" ht="7.5" hidden="false" customHeight="true" outlineLevel="0" collapsed="false"/>
    <row r="12" customFormat="false" ht="18" hidden="false" customHeight="true" outlineLevel="0" collapsed="false">
      <c r="A12" s="44" t="s">
        <v>2056</v>
      </c>
      <c r="B12" s="44"/>
      <c r="C12" s="44"/>
      <c r="D12" s="44"/>
    </row>
    <row r="13" customFormat="false" ht="16.5" hidden="false" customHeight="true" outlineLevel="0" collapsed="false">
      <c r="A13" s="5" t="s">
        <v>2057</v>
      </c>
      <c r="B13" s="5"/>
      <c r="C13" s="5"/>
      <c r="D13" s="5"/>
    </row>
    <row r="14" customFormat="false" ht="16.5" hidden="false" customHeight="true" outlineLevel="0" collapsed="false">
      <c r="A14" s="5" t="s">
        <v>2058</v>
      </c>
      <c r="B14" s="5"/>
      <c r="C14" s="5"/>
      <c r="D14" s="5"/>
    </row>
    <row r="15" customFormat="false" ht="16.5" hidden="false" customHeight="true" outlineLevel="0" collapsed="false">
      <c r="A15" s="5" t="s">
        <v>2059</v>
      </c>
      <c r="B15" s="5"/>
      <c r="C15" s="5"/>
      <c r="D15" s="5"/>
    </row>
    <row r="16" customFormat="false" ht="16.5" hidden="false" customHeight="true" outlineLevel="0" collapsed="false">
      <c r="A16" s="5" t="s">
        <v>2060</v>
      </c>
      <c r="B16" s="5"/>
      <c r="C16" s="5"/>
      <c r="D16" s="5"/>
    </row>
    <row r="17" customFormat="false" ht="16.5" hidden="false" customHeight="true" outlineLevel="0" collapsed="false">
      <c r="A17" s="5" t="s">
        <v>2061</v>
      </c>
      <c r="B17" s="5"/>
      <c r="C17" s="5"/>
      <c r="D17" s="5"/>
    </row>
    <row r="18" customFormat="false" ht="7.5" hidden="false" customHeight="true" outlineLevel="0" collapsed="false"/>
    <row r="19" customFormat="false" ht="18" hidden="false" customHeight="true" outlineLevel="0" collapsed="false">
      <c r="A19" s="44" t="s">
        <v>2062</v>
      </c>
      <c r="B19" s="44"/>
      <c r="C19" s="44"/>
      <c r="D19" s="44"/>
    </row>
    <row r="20" customFormat="false" ht="16.5" hidden="false" customHeight="true" outlineLevel="0" collapsed="false">
      <c r="A20" s="4" t="s">
        <v>996</v>
      </c>
      <c r="B20" s="4" t="s">
        <v>2063</v>
      </c>
      <c r="C20" s="4" t="s">
        <v>1431</v>
      </c>
      <c r="D20" s="4"/>
    </row>
    <row r="21" customFormat="false" ht="43.5" hidden="false" customHeight="true" outlineLevel="0" collapsed="false">
      <c r="A21" s="5" t="s">
        <v>2064</v>
      </c>
      <c r="B21" s="5" t="s">
        <v>2065</v>
      </c>
      <c r="C21" s="5" t="s">
        <v>2066</v>
      </c>
      <c r="D21" s="5"/>
    </row>
    <row r="22" customFormat="false" ht="30" hidden="false" customHeight="true" outlineLevel="0" collapsed="false">
      <c r="A22" s="5" t="s">
        <v>2067</v>
      </c>
      <c r="B22" s="5" t="s">
        <v>2068</v>
      </c>
      <c r="C22" s="5" t="s">
        <v>2069</v>
      </c>
      <c r="D22" s="5"/>
    </row>
    <row r="23" customFormat="false" ht="30" hidden="false" customHeight="true" outlineLevel="0" collapsed="false">
      <c r="A23" s="5" t="s">
        <v>2070</v>
      </c>
      <c r="B23" s="5" t="s">
        <v>2071</v>
      </c>
      <c r="C23" s="5" t="s">
        <v>2072</v>
      </c>
      <c r="D23" s="5"/>
    </row>
    <row r="24" customFormat="false" ht="43.5" hidden="false" customHeight="true" outlineLevel="0" collapsed="false">
      <c r="A24" s="5" t="s">
        <v>2073</v>
      </c>
      <c r="B24" s="5" t="s">
        <v>2074</v>
      </c>
      <c r="C24" s="5" t="s">
        <v>2075</v>
      </c>
      <c r="D24" s="5"/>
    </row>
    <row r="25" customFormat="false" ht="30" hidden="false" customHeight="true" outlineLevel="0" collapsed="false">
      <c r="A25" s="5" t="s">
        <v>2076</v>
      </c>
      <c r="B25" s="5" t="s">
        <v>2077</v>
      </c>
      <c r="C25" s="5" t="s">
        <v>2078</v>
      </c>
      <c r="D25" s="5"/>
    </row>
    <row r="26" customFormat="false" ht="7.5" hidden="false" customHeight="true" outlineLevel="0" collapsed="false"/>
    <row r="27" customFormat="false" ht="30" hidden="false" customHeight="true" outlineLevel="0" collapsed="false">
      <c r="A27" s="10" t="s">
        <v>2079</v>
      </c>
      <c r="B27" s="10"/>
      <c r="C27" s="10"/>
      <c r="D27" s="10"/>
    </row>
    <row r="28" customFormat="false" ht="7.5" hidden="false" customHeight="true" outlineLevel="0" collapsed="false"/>
    <row r="29" customFormat="false" ht="18" hidden="false" customHeight="true" outlineLevel="0" collapsed="false">
      <c r="A29" s="44" t="s">
        <v>2080</v>
      </c>
      <c r="B29" s="44"/>
      <c r="C29" s="44"/>
      <c r="D29" s="44"/>
    </row>
    <row r="30" customFormat="false" ht="16.5" hidden="false" customHeight="true" outlineLevel="0" collapsed="false">
      <c r="A30" s="4" t="s">
        <v>1250</v>
      </c>
      <c r="B30" s="4" t="s">
        <v>1224</v>
      </c>
      <c r="C30" s="4"/>
      <c r="D30" s="4"/>
    </row>
    <row r="31" customFormat="false" ht="30" hidden="false" customHeight="true" outlineLevel="0" collapsed="false">
      <c r="A31" s="5" t="s">
        <v>2081</v>
      </c>
      <c r="B31" s="5" t="s">
        <v>2082</v>
      </c>
      <c r="C31" s="5"/>
      <c r="D31" s="5"/>
    </row>
    <row r="32" customFormat="false" ht="30" hidden="false" customHeight="true" outlineLevel="0" collapsed="false">
      <c r="A32" s="5" t="s">
        <v>2083</v>
      </c>
      <c r="B32" s="5" t="s">
        <v>2084</v>
      </c>
      <c r="C32" s="5"/>
      <c r="D32" s="5"/>
    </row>
    <row r="33" customFormat="false" ht="43.5" hidden="false" customHeight="true" outlineLevel="0" collapsed="false">
      <c r="A33" s="5" t="s">
        <v>2085</v>
      </c>
      <c r="B33" s="5" t="s">
        <v>2086</v>
      </c>
      <c r="C33" s="5"/>
      <c r="D33" s="5"/>
    </row>
    <row r="34" customFormat="false" ht="16.5" hidden="false" customHeight="true" outlineLevel="0" collapsed="false">
      <c r="A34" s="5" t="s">
        <v>2087</v>
      </c>
      <c r="B34" s="5" t="s">
        <v>2088</v>
      </c>
      <c r="C34" s="5"/>
      <c r="D34" s="5"/>
    </row>
    <row r="35" customFormat="false" ht="43.5" hidden="false" customHeight="true" outlineLevel="0" collapsed="false">
      <c r="A35" s="5" t="s">
        <v>2089</v>
      </c>
      <c r="B35" s="5" t="s">
        <v>2090</v>
      </c>
      <c r="C35" s="5"/>
      <c r="D35" s="5"/>
    </row>
    <row r="36" customFormat="false" ht="7.5" hidden="false" customHeight="true" outlineLevel="0" collapsed="false"/>
    <row r="37" customFormat="false" ht="16.5" hidden="false" customHeight="true" outlineLevel="0" collapsed="false">
      <c r="A37" s="10" t="s">
        <v>2091</v>
      </c>
      <c r="B37" s="10"/>
      <c r="C37" s="10"/>
      <c r="D37" s="10"/>
    </row>
    <row r="38" customFormat="false" ht="7.5" hidden="false" customHeight="true" outlineLevel="0" collapsed="false"/>
    <row r="39" customFormat="false" ht="18" hidden="false" customHeight="true" outlineLevel="0" collapsed="false">
      <c r="A39" s="44" t="s">
        <v>2092</v>
      </c>
      <c r="B39" s="44"/>
      <c r="C39" s="44"/>
      <c r="D39" s="44"/>
    </row>
    <row r="40" customFormat="false" ht="16.5" hidden="false" customHeight="true" outlineLevel="0" collapsed="false">
      <c r="A40" s="5" t="s">
        <v>2093</v>
      </c>
      <c r="B40" s="5"/>
      <c r="C40" s="5"/>
      <c r="D40" s="5"/>
    </row>
    <row r="41" customFormat="false" ht="16.5" hidden="false" customHeight="true" outlineLevel="0" collapsed="false">
      <c r="A41" s="5" t="s">
        <v>2094</v>
      </c>
      <c r="B41" s="5"/>
      <c r="C41" s="5"/>
      <c r="D41" s="5"/>
    </row>
    <row r="42" customFormat="false" ht="16.5" hidden="false" customHeight="true" outlineLevel="0" collapsed="false">
      <c r="A42" s="5" t="s">
        <v>2095</v>
      </c>
      <c r="B42" s="5"/>
      <c r="C42" s="5"/>
      <c r="D42" s="5"/>
    </row>
    <row r="43" customFormat="false" ht="16.5" hidden="false" customHeight="true" outlineLevel="0" collapsed="false">
      <c r="A43" s="5" t="s">
        <v>2096</v>
      </c>
      <c r="B43" s="5"/>
      <c r="C43" s="5"/>
      <c r="D43" s="5"/>
    </row>
    <row r="44" customFormat="false" ht="16.5" hidden="false" customHeight="true" outlineLevel="0" collapsed="false">
      <c r="A44" s="5" t="s">
        <v>2097</v>
      </c>
      <c r="B44" s="5"/>
      <c r="C44" s="5"/>
      <c r="D44" s="5"/>
    </row>
    <row r="45" customFormat="false" ht="16.5" hidden="false" customHeight="true" outlineLevel="0" collapsed="false">
      <c r="A45" s="5" t="s">
        <v>2098</v>
      </c>
      <c r="B45" s="5"/>
      <c r="C45" s="5"/>
      <c r="D45" s="5"/>
    </row>
    <row r="46" customFormat="false" ht="16.5" hidden="false" customHeight="true" outlineLevel="0" collapsed="false">
      <c r="A46" s="5" t="s">
        <v>2099</v>
      </c>
      <c r="B46" s="5"/>
      <c r="C46" s="5"/>
      <c r="D46" s="5"/>
    </row>
    <row r="47" customFormat="false" ht="7.5" hidden="false" customHeight="true" outlineLevel="0" collapsed="false"/>
    <row r="48" customFormat="false" ht="30" hidden="false" customHeight="true" outlineLevel="0" collapsed="false">
      <c r="A48" s="10" t="s">
        <v>2100</v>
      </c>
      <c r="B48" s="10"/>
      <c r="C48" s="10"/>
      <c r="D48" s="10"/>
    </row>
    <row r="49" customFormat="false" ht="7.5" hidden="false" customHeight="true" outlineLevel="0" collapsed="false"/>
    <row r="50" customFormat="false" ht="18" hidden="false" customHeight="true" outlineLevel="0" collapsed="false">
      <c r="A50" s="44" t="s">
        <v>2101</v>
      </c>
      <c r="B50" s="44"/>
      <c r="C50" s="44"/>
      <c r="D50" s="44"/>
    </row>
    <row r="51" customFormat="false" ht="16.5" hidden="false" customHeight="true" outlineLevel="0" collapsed="false">
      <c r="A51" s="4" t="s">
        <v>1183</v>
      </c>
      <c r="B51" s="4" t="s">
        <v>2102</v>
      </c>
      <c r="C51" s="4" t="s">
        <v>1431</v>
      </c>
      <c r="D51" s="4"/>
    </row>
    <row r="52" customFormat="false" ht="148.5" hidden="false" customHeight="true" outlineLevel="0" collapsed="false">
      <c r="A52" s="5" t="s">
        <v>2103</v>
      </c>
      <c r="B52" s="9" t="s">
        <v>2104</v>
      </c>
      <c r="C52" s="5" t="s">
        <v>2105</v>
      </c>
      <c r="D52" s="5"/>
    </row>
    <row r="53" customFormat="false" ht="96" hidden="false" customHeight="true" outlineLevel="0" collapsed="false">
      <c r="A53" s="5" t="s">
        <v>2106</v>
      </c>
      <c r="B53" s="9" t="s">
        <v>2107</v>
      </c>
      <c r="C53" s="5" t="s">
        <v>2108</v>
      </c>
      <c r="D53" s="5"/>
    </row>
    <row r="54" customFormat="false" ht="201.75" hidden="false" customHeight="true" outlineLevel="0" collapsed="false">
      <c r="A54" s="5" t="s">
        <v>2109</v>
      </c>
      <c r="B54" s="9" t="s">
        <v>2110</v>
      </c>
      <c r="C54" s="5" t="s">
        <v>2111</v>
      </c>
      <c r="D54" s="5"/>
    </row>
    <row r="55" customFormat="false" ht="188.25" hidden="false" customHeight="true" outlineLevel="0" collapsed="false">
      <c r="A55" s="5" t="s">
        <v>2112</v>
      </c>
      <c r="B55" s="9" t="s">
        <v>2113</v>
      </c>
      <c r="C55" s="5" t="s">
        <v>2114</v>
      </c>
      <c r="D55" s="5"/>
    </row>
    <row r="56" customFormat="false" ht="96" hidden="false" customHeight="true" outlineLevel="0" collapsed="false">
      <c r="A56" s="5" t="s">
        <v>2115</v>
      </c>
      <c r="B56" s="9" t="s">
        <v>2116</v>
      </c>
      <c r="C56" s="5" t="s">
        <v>2117</v>
      </c>
      <c r="D56" s="5"/>
    </row>
    <row r="57" customFormat="false" ht="30" hidden="false" customHeight="true" outlineLevel="0" collapsed="false">
      <c r="A57" s="5" t="s">
        <v>2118</v>
      </c>
      <c r="B57" s="9" t="s">
        <v>2119</v>
      </c>
      <c r="C57" s="5"/>
      <c r="D57" s="5"/>
    </row>
    <row r="58" customFormat="false" ht="188.25" hidden="false" customHeight="true" outlineLevel="0" collapsed="false">
      <c r="A58" s="5" t="s">
        <v>2120</v>
      </c>
      <c r="B58" s="9" t="s">
        <v>2121</v>
      </c>
      <c r="C58" s="5" t="s">
        <v>2122</v>
      </c>
      <c r="D58" s="5"/>
    </row>
    <row r="59" customFormat="false" ht="82.5" hidden="false" customHeight="true" outlineLevel="0" collapsed="false">
      <c r="A59" s="5" t="s">
        <v>2123</v>
      </c>
      <c r="B59" s="9" t="s">
        <v>2124</v>
      </c>
      <c r="C59" s="5" t="s">
        <v>2125</v>
      </c>
      <c r="D59" s="5"/>
    </row>
    <row r="60" customFormat="false" ht="82.5" hidden="false" customHeight="true" outlineLevel="0" collapsed="false">
      <c r="A60" s="5" t="s">
        <v>2126</v>
      </c>
      <c r="B60" s="9" t="s">
        <v>2127</v>
      </c>
      <c r="C60" s="5" t="s">
        <v>2128</v>
      </c>
      <c r="D60" s="5"/>
    </row>
    <row r="61" customFormat="false" ht="56.25" hidden="false" customHeight="true" outlineLevel="0" collapsed="false">
      <c r="A61" s="5" t="s">
        <v>2129</v>
      </c>
      <c r="B61" s="9" t="s">
        <v>2130</v>
      </c>
      <c r="C61" s="5" t="s">
        <v>2131</v>
      </c>
      <c r="D61" s="5"/>
    </row>
    <row r="62" customFormat="false" ht="7.5" hidden="false" customHeight="true" outlineLevel="0" collapsed="false"/>
    <row r="63" customFormat="false" ht="30" hidden="false" customHeight="true" outlineLevel="0" collapsed="false">
      <c r="A63" s="35" t="s">
        <v>2132</v>
      </c>
      <c r="B63" s="35"/>
      <c r="C63" s="35"/>
      <c r="D63" s="35"/>
    </row>
    <row r="64" customFormat="false" ht="7.5" hidden="false" customHeight="true" outlineLevel="0" collapsed="false"/>
    <row r="65" customFormat="false" ht="18" hidden="false" customHeight="true" outlineLevel="0" collapsed="false">
      <c r="A65" s="44" t="s">
        <v>2133</v>
      </c>
      <c r="B65" s="44"/>
      <c r="C65" s="44"/>
      <c r="D65" s="44"/>
    </row>
    <row r="66" customFormat="false" ht="16.5" hidden="false" customHeight="true" outlineLevel="0" collapsed="false">
      <c r="A66" s="4" t="s">
        <v>996</v>
      </c>
      <c r="B66" s="4" t="s">
        <v>2134</v>
      </c>
      <c r="C66" s="4"/>
      <c r="D66" s="4"/>
    </row>
    <row r="67" customFormat="false" ht="16.5" hidden="false" customHeight="true" outlineLevel="0" collapsed="false">
      <c r="A67" s="5" t="s">
        <v>1000</v>
      </c>
      <c r="B67" s="5" t="s">
        <v>2135</v>
      </c>
      <c r="C67" s="5"/>
      <c r="D67" s="5"/>
    </row>
    <row r="68" customFormat="false" ht="43.5" hidden="false" customHeight="true" outlineLevel="0" collapsed="false">
      <c r="A68" s="5" t="s">
        <v>1004</v>
      </c>
      <c r="B68" s="5" t="s">
        <v>2136</v>
      </c>
      <c r="C68" s="5"/>
      <c r="D68" s="5"/>
    </row>
    <row r="69" customFormat="false" ht="16.5" hidden="false" customHeight="true" outlineLevel="0" collapsed="false">
      <c r="A69" s="5" t="s">
        <v>1008</v>
      </c>
      <c r="B69" s="5" t="s">
        <v>2137</v>
      </c>
      <c r="C69" s="5"/>
      <c r="D69" s="5"/>
    </row>
    <row r="70" customFormat="false" ht="16.5" hidden="false" customHeight="true" outlineLevel="0" collapsed="false">
      <c r="A70" s="5" t="s">
        <v>1012</v>
      </c>
      <c r="B70" s="5" t="s">
        <v>2138</v>
      </c>
      <c r="C70" s="5"/>
      <c r="D70" s="5"/>
    </row>
    <row r="71" customFormat="false" ht="43.5" hidden="false" customHeight="true" outlineLevel="0" collapsed="false">
      <c r="A71" s="5" t="s">
        <v>1016</v>
      </c>
      <c r="B71" s="5" t="s">
        <v>2139</v>
      </c>
      <c r="C71" s="5"/>
      <c r="D71" s="5"/>
    </row>
    <row r="72" customFormat="false" ht="7.5" hidden="false" customHeight="true" outlineLevel="0" collapsed="false"/>
    <row r="73" customFormat="false" ht="30" hidden="false" customHeight="true" outlineLevel="0" collapsed="false">
      <c r="A73" s="40" t="s">
        <v>2140</v>
      </c>
      <c r="B73" s="40"/>
      <c r="C73" s="40"/>
      <c r="D73" s="40"/>
    </row>
    <row r="74" customFormat="false" ht="7.5" hidden="false" customHeight="true" outlineLevel="0" collapsed="false"/>
    <row r="75" customFormat="false" ht="18" hidden="false" customHeight="true" outlineLevel="0" collapsed="false">
      <c r="A75" s="44" t="s">
        <v>2141</v>
      </c>
      <c r="B75" s="44"/>
      <c r="C75" s="44"/>
      <c r="D75" s="44"/>
    </row>
    <row r="76" customFormat="false" ht="16.5" hidden="false" customHeight="true" outlineLevel="0" collapsed="false">
      <c r="A76" s="4" t="s">
        <v>467</v>
      </c>
      <c r="B76" s="4" t="s">
        <v>2142</v>
      </c>
      <c r="C76" s="4" t="s">
        <v>2143</v>
      </c>
      <c r="D76" s="4"/>
    </row>
    <row r="77" customFormat="false" ht="16.5" hidden="false" customHeight="true" outlineLevel="0" collapsed="false">
      <c r="A77" s="5" t="s">
        <v>2144</v>
      </c>
      <c r="B77" s="5" t="s">
        <v>2145</v>
      </c>
      <c r="C77" s="5" t="s">
        <v>2146</v>
      </c>
      <c r="D77" s="5"/>
    </row>
    <row r="78" customFormat="false" ht="16.5" hidden="false" customHeight="true" outlineLevel="0" collapsed="false">
      <c r="A78" s="5" t="s">
        <v>2147</v>
      </c>
      <c r="B78" s="5" t="s">
        <v>2148</v>
      </c>
      <c r="C78" s="5" t="s">
        <v>2149</v>
      </c>
      <c r="D78" s="5"/>
    </row>
    <row r="79" customFormat="false" ht="16.5" hidden="false" customHeight="true" outlineLevel="0" collapsed="false">
      <c r="A79" s="5" t="s">
        <v>2150</v>
      </c>
      <c r="B79" s="5" t="s">
        <v>2151</v>
      </c>
      <c r="C79" s="5" t="s">
        <v>2152</v>
      </c>
      <c r="D79" s="5"/>
    </row>
    <row r="80" customFormat="false" ht="30" hidden="false" customHeight="true" outlineLevel="0" collapsed="false">
      <c r="A80" s="5" t="s">
        <v>2153</v>
      </c>
      <c r="B80" s="5" t="s">
        <v>2154</v>
      </c>
      <c r="C80" s="5" t="s">
        <v>2155</v>
      </c>
      <c r="D80" s="5"/>
    </row>
    <row r="81" customFormat="false" ht="16.5" hidden="false" customHeight="true" outlineLevel="0" collapsed="false">
      <c r="A81" s="5" t="s">
        <v>2156</v>
      </c>
      <c r="B81" s="5" t="s">
        <v>2157</v>
      </c>
      <c r="C81" s="5" t="s">
        <v>2158</v>
      </c>
      <c r="D81" s="5"/>
    </row>
    <row r="82" customFormat="false" ht="30" hidden="false" customHeight="true" outlineLevel="0" collapsed="false">
      <c r="A82" s="5" t="s">
        <v>2159</v>
      </c>
      <c r="B82" s="5" t="s">
        <v>2160</v>
      </c>
      <c r="C82" s="5" t="s">
        <v>2161</v>
      </c>
      <c r="D82" s="5"/>
    </row>
    <row r="83" customFormat="false" ht="7.5" hidden="false" customHeight="true" outlineLevel="0" collapsed="false"/>
    <row r="84" customFormat="false" ht="43.5" hidden="false" customHeight="true" outlineLevel="0" collapsed="false">
      <c r="A84" s="6" t="s">
        <v>2162</v>
      </c>
      <c r="B84" s="6"/>
      <c r="C84" s="6"/>
      <c r="D84" s="6"/>
    </row>
    <row r="85" customFormat="false" ht="7.5" hidden="false" customHeight="true" outlineLevel="0" collapsed="false"/>
    <row r="86" customFormat="false" ht="16.5" hidden="false" customHeight="true" outlineLevel="0" collapsed="false">
      <c r="A86" s="7" t="s">
        <v>86</v>
      </c>
      <c r="B86" s="7"/>
      <c r="C86" s="7"/>
      <c r="D86" s="7"/>
    </row>
    <row r="87" customFormat="false" ht="16.5" hidden="false" customHeight="true" outlineLevel="0" collapsed="false">
      <c r="A87" s="8" t="s">
        <v>2163</v>
      </c>
      <c r="B87" s="8"/>
      <c r="C87" s="8"/>
      <c r="D87" s="8"/>
    </row>
    <row r="88" customFormat="false" ht="16.5" hidden="false" customHeight="true" outlineLevel="0" collapsed="false">
      <c r="A88" s="8" t="s">
        <v>2164</v>
      </c>
      <c r="B88" s="8"/>
      <c r="C88" s="8"/>
      <c r="D88" s="8"/>
    </row>
    <row r="89" customFormat="false" ht="16.5" hidden="false" customHeight="true" outlineLevel="0" collapsed="false">
      <c r="A89" s="8" t="s">
        <v>2165</v>
      </c>
      <c r="B89" s="8"/>
      <c r="C89" s="8"/>
      <c r="D89" s="8"/>
    </row>
    <row r="90" customFormat="false" ht="16.5" hidden="false" customHeight="true" outlineLevel="0" collapsed="false">
      <c r="A90" s="8" t="s">
        <v>2166</v>
      </c>
      <c r="B90" s="8"/>
      <c r="C90" s="8"/>
      <c r="D90" s="8"/>
    </row>
    <row r="91" customFormat="false" ht="16.5" hidden="false" customHeight="true" outlineLevel="0" collapsed="false">
      <c r="A91" s="8" t="s">
        <v>2167</v>
      </c>
      <c r="B91" s="8"/>
      <c r="C91" s="8"/>
      <c r="D91" s="8"/>
    </row>
    <row r="92" customFormat="false" ht="7.5" hidden="false" customHeight="true" outlineLevel="0" collapsed="false"/>
  </sheetData>
  <mergeCells count="71">
    <mergeCell ref="A1:D1"/>
    <mergeCell ref="A2:D2"/>
    <mergeCell ref="A4:D4"/>
    <mergeCell ref="A10:D10"/>
    <mergeCell ref="A12:D12"/>
    <mergeCell ref="A13:D13"/>
    <mergeCell ref="A14:D14"/>
    <mergeCell ref="A15:D15"/>
    <mergeCell ref="A16:D16"/>
    <mergeCell ref="A17:D17"/>
    <mergeCell ref="A19:D19"/>
    <mergeCell ref="C20:D20"/>
    <mergeCell ref="C21:D21"/>
    <mergeCell ref="C22:D22"/>
    <mergeCell ref="C23:D23"/>
    <mergeCell ref="C24:D24"/>
    <mergeCell ref="C25:D25"/>
    <mergeCell ref="A27:D27"/>
    <mergeCell ref="A29:D29"/>
    <mergeCell ref="B30:D30"/>
    <mergeCell ref="B31:D31"/>
    <mergeCell ref="B32:D32"/>
    <mergeCell ref="B33:D33"/>
    <mergeCell ref="B34:D34"/>
    <mergeCell ref="B35:D35"/>
    <mergeCell ref="A37:D37"/>
    <mergeCell ref="A39:D39"/>
    <mergeCell ref="A40:D40"/>
    <mergeCell ref="A41:D41"/>
    <mergeCell ref="A42:D42"/>
    <mergeCell ref="A43:D43"/>
    <mergeCell ref="A44:D44"/>
    <mergeCell ref="A45:D45"/>
    <mergeCell ref="A46:D46"/>
    <mergeCell ref="A48:D48"/>
    <mergeCell ref="A50:D50"/>
    <mergeCell ref="C51:D51"/>
    <mergeCell ref="C52:D52"/>
    <mergeCell ref="C53:D53"/>
    <mergeCell ref="C54:D54"/>
    <mergeCell ref="C55:D55"/>
    <mergeCell ref="C56:D56"/>
    <mergeCell ref="C57:D57"/>
    <mergeCell ref="C58:D58"/>
    <mergeCell ref="C59:D59"/>
    <mergeCell ref="C60:D60"/>
    <mergeCell ref="C61:D61"/>
    <mergeCell ref="A63:D63"/>
    <mergeCell ref="A65:D65"/>
    <mergeCell ref="B66:D66"/>
    <mergeCell ref="B67:D67"/>
    <mergeCell ref="B68:D68"/>
    <mergeCell ref="B69:D69"/>
    <mergeCell ref="B70:D70"/>
    <mergeCell ref="B71:D71"/>
    <mergeCell ref="A73:D73"/>
    <mergeCell ref="A75:D75"/>
    <mergeCell ref="C76:D76"/>
    <mergeCell ref="C77:D77"/>
    <mergeCell ref="C78:D78"/>
    <mergeCell ref="C79:D79"/>
    <mergeCell ref="C80:D80"/>
    <mergeCell ref="C81:D81"/>
    <mergeCell ref="C82:D82"/>
    <mergeCell ref="A84:D84"/>
    <mergeCell ref="A86:D86"/>
    <mergeCell ref="A87:D87"/>
    <mergeCell ref="A88:D88"/>
    <mergeCell ref="A89:D89"/>
    <mergeCell ref="A90:D90"/>
    <mergeCell ref="A91:D9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5470B"/>
    <pageSetUpPr fitToPage="true"/>
  </sheetPr>
  <dimension ref="A1:D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38"/>
  </cols>
  <sheetData>
    <row r="1" customFormat="false" ht="30" hidden="false" customHeight="true" outlineLevel="0" collapsed="false">
      <c r="A1" s="43" t="s">
        <v>2168</v>
      </c>
      <c r="B1" s="43"/>
      <c r="C1" s="43"/>
      <c r="D1" s="43"/>
    </row>
    <row r="2" customFormat="false" ht="33" hidden="false" customHeight="true" outlineLevel="0" collapsed="false">
      <c r="A2" s="2" t="s">
        <v>2169</v>
      </c>
      <c r="B2" s="2"/>
      <c r="C2" s="2"/>
      <c r="D2" s="2"/>
    </row>
    <row r="3" customFormat="false" ht="7.5" hidden="false" customHeight="true" outlineLevel="0" collapsed="false"/>
    <row r="4" customFormat="false" ht="18" hidden="false" customHeight="true" outlineLevel="0" collapsed="false">
      <c r="A4" s="44" t="s">
        <v>2170</v>
      </c>
      <c r="B4" s="44"/>
      <c r="C4" s="44"/>
      <c r="D4" s="44"/>
    </row>
    <row r="5" customFormat="false" ht="16.5" hidden="false" customHeight="true" outlineLevel="0" collapsed="false">
      <c r="A5" s="4" t="s">
        <v>2171</v>
      </c>
      <c r="B5" s="4" t="s">
        <v>2172</v>
      </c>
      <c r="C5" s="4" t="s">
        <v>166</v>
      </c>
      <c r="D5" s="4" t="s">
        <v>98</v>
      </c>
    </row>
    <row r="6" customFormat="false" ht="30" hidden="false" customHeight="true" outlineLevel="0" collapsed="false">
      <c r="A6" s="5" t="s">
        <v>2173</v>
      </c>
      <c r="B6" s="5" t="s">
        <v>322</v>
      </c>
      <c r="C6" s="9" t="s">
        <v>321</v>
      </c>
      <c r="D6" s="5" t="s">
        <v>2174</v>
      </c>
    </row>
    <row r="7" customFormat="false" ht="30" hidden="false" customHeight="true" outlineLevel="0" collapsed="false">
      <c r="A7" s="5" t="s">
        <v>2175</v>
      </c>
      <c r="B7" s="5" t="s">
        <v>325</v>
      </c>
      <c r="C7" s="9" t="s">
        <v>321</v>
      </c>
      <c r="D7" s="5"/>
    </row>
    <row r="8" customFormat="false" ht="43.5" hidden="false" customHeight="true" outlineLevel="0" collapsed="false">
      <c r="A8" s="5" t="s">
        <v>2176</v>
      </c>
      <c r="B8" s="5" t="s">
        <v>325</v>
      </c>
      <c r="C8" s="9" t="s">
        <v>321</v>
      </c>
      <c r="D8" s="5"/>
    </row>
    <row r="9" customFormat="false" ht="30" hidden="false" customHeight="true" outlineLevel="0" collapsed="false">
      <c r="A9" s="5" t="s">
        <v>2177</v>
      </c>
      <c r="B9" s="5" t="s">
        <v>325</v>
      </c>
      <c r="C9" s="9" t="s">
        <v>181</v>
      </c>
      <c r="D9" s="5" t="s">
        <v>2178</v>
      </c>
    </row>
    <row r="10" customFormat="false" ht="43.5" hidden="false" customHeight="true" outlineLevel="0" collapsed="false">
      <c r="A10" s="5" t="s">
        <v>2179</v>
      </c>
      <c r="B10" s="5" t="s">
        <v>325</v>
      </c>
      <c r="C10" s="9" t="s">
        <v>321</v>
      </c>
      <c r="D10" s="5"/>
    </row>
    <row r="11" customFormat="false" ht="43.5" hidden="false" customHeight="true" outlineLevel="0" collapsed="false">
      <c r="A11" s="5" t="s">
        <v>2180</v>
      </c>
      <c r="B11" s="5" t="s">
        <v>331</v>
      </c>
      <c r="C11" s="9" t="s">
        <v>221</v>
      </c>
      <c r="D11" s="5" t="s">
        <v>332</v>
      </c>
    </row>
    <row r="12" customFormat="false" ht="69.75" hidden="false" customHeight="true" outlineLevel="0" collapsed="false">
      <c r="A12" s="5" t="s">
        <v>2181</v>
      </c>
      <c r="B12" s="5" t="s">
        <v>2182</v>
      </c>
      <c r="C12" s="9" t="s">
        <v>177</v>
      </c>
      <c r="D12" s="5" t="s">
        <v>2183</v>
      </c>
    </row>
    <row r="13" customFormat="false" ht="30" hidden="false" customHeight="true" outlineLevel="0" collapsed="false">
      <c r="A13" s="5" t="s">
        <v>2184</v>
      </c>
      <c r="B13" s="5" t="s">
        <v>2182</v>
      </c>
      <c r="C13" s="9" t="s">
        <v>2185</v>
      </c>
      <c r="D13" s="5" t="s">
        <v>2186</v>
      </c>
    </row>
    <row r="14" customFormat="false" ht="43.5" hidden="false" customHeight="true" outlineLevel="0" collapsed="false">
      <c r="A14" s="5" t="s">
        <v>2187</v>
      </c>
      <c r="B14" s="5"/>
      <c r="C14" s="9" t="s">
        <v>100</v>
      </c>
      <c r="D14" s="5"/>
    </row>
    <row r="15" customFormat="false" ht="43.5" hidden="false" customHeight="true" outlineLevel="0" collapsed="false">
      <c r="A15" s="5" t="s">
        <v>2188</v>
      </c>
      <c r="B15" s="5"/>
      <c r="C15" s="9" t="s">
        <v>339</v>
      </c>
      <c r="D15" s="5" t="s">
        <v>340</v>
      </c>
    </row>
    <row r="16" customFormat="false" ht="56.25" hidden="false" customHeight="true" outlineLevel="0" collapsed="false">
      <c r="A16" s="5" t="s">
        <v>2189</v>
      </c>
      <c r="B16" s="5"/>
      <c r="C16" s="9" t="s">
        <v>339</v>
      </c>
      <c r="D16" s="5"/>
    </row>
    <row r="17" customFormat="false" ht="56.25" hidden="false" customHeight="true" outlineLevel="0" collapsed="false">
      <c r="A17" s="5" t="s">
        <v>2190</v>
      </c>
      <c r="B17" s="5" t="s">
        <v>2182</v>
      </c>
      <c r="C17" s="9" t="s">
        <v>177</v>
      </c>
      <c r="D17" s="5"/>
    </row>
    <row r="18" customFormat="false" ht="43.5" hidden="false" customHeight="true" outlineLevel="0" collapsed="false">
      <c r="A18" s="5" t="s">
        <v>2191</v>
      </c>
      <c r="B18" s="5" t="s">
        <v>2182</v>
      </c>
      <c r="C18" s="9" t="s">
        <v>2192</v>
      </c>
      <c r="D18" s="5"/>
    </row>
    <row r="19" customFormat="false" ht="16.5" hidden="false" customHeight="true" outlineLevel="0" collapsed="false">
      <c r="A19" s="5" t="s">
        <v>2193</v>
      </c>
      <c r="B19" s="5" t="s">
        <v>344</v>
      </c>
      <c r="C19" s="9" t="s">
        <v>181</v>
      </c>
      <c r="D19" s="5" t="s">
        <v>345</v>
      </c>
    </row>
    <row r="20" customFormat="false" ht="43.5" hidden="false" customHeight="true" outlineLevel="0" collapsed="false">
      <c r="A20" s="5" t="s">
        <v>2194</v>
      </c>
      <c r="B20" s="5" t="s">
        <v>344</v>
      </c>
      <c r="C20" s="9" t="s">
        <v>2195</v>
      </c>
      <c r="D20" s="5" t="s">
        <v>2196</v>
      </c>
    </row>
    <row r="21" customFormat="false" ht="43.5" hidden="false" customHeight="true" outlineLevel="0" collapsed="false">
      <c r="A21" s="5" t="s">
        <v>2197</v>
      </c>
      <c r="B21" s="5" t="s">
        <v>2198</v>
      </c>
      <c r="C21" s="9" t="s">
        <v>177</v>
      </c>
      <c r="D21" s="5" t="s">
        <v>2199</v>
      </c>
    </row>
    <row r="22" customFormat="false" ht="30" hidden="false" customHeight="true" outlineLevel="0" collapsed="false">
      <c r="A22" s="5" t="s">
        <v>2200</v>
      </c>
      <c r="B22" s="5" t="s">
        <v>335</v>
      </c>
      <c r="C22" s="9" t="s">
        <v>221</v>
      </c>
      <c r="D22" s="5" t="s">
        <v>2201</v>
      </c>
    </row>
    <row r="23" customFormat="false" ht="30" hidden="false" customHeight="true" outlineLevel="0" collapsed="false">
      <c r="A23" s="5" t="s">
        <v>2202</v>
      </c>
      <c r="B23" s="5" t="s">
        <v>335</v>
      </c>
      <c r="C23" s="9" t="s">
        <v>185</v>
      </c>
      <c r="D23" s="5" t="s">
        <v>2203</v>
      </c>
    </row>
    <row r="24" customFormat="false" ht="30" hidden="false" customHeight="true" outlineLevel="0" collapsed="false">
      <c r="A24" s="5" t="s">
        <v>2204</v>
      </c>
      <c r="B24" s="5" t="s">
        <v>335</v>
      </c>
      <c r="C24" s="9" t="s">
        <v>354</v>
      </c>
      <c r="D24" s="5" t="s">
        <v>2205</v>
      </c>
    </row>
    <row r="25" customFormat="false" ht="30" hidden="false" customHeight="true" outlineLevel="0" collapsed="false">
      <c r="A25" s="5" t="s">
        <v>2206</v>
      </c>
      <c r="B25" s="5" t="s">
        <v>335</v>
      </c>
      <c r="C25" s="9" t="s">
        <v>356</v>
      </c>
      <c r="D25" s="5" t="s">
        <v>2207</v>
      </c>
    </row>
    <row r="26" customFormat="false" ht="30" hidden="false" customHeight="true" outlineLevel="0" collapsed="false">
      <c r="A26" s="5" t="s">
        <v>2208</v>
      </c>
      <c r="B26" s="5" t="s">
        <v>358</v>
      </c>
      <c r="C26" s="9" t="s">
        <v>221</v>
      </c>
      <c r="D26" s="5"/>
    </row>
    <row r="27" customFormat="false" ht="43.5" hidden="false" customHeight="true" outlineLevel="0" collapsed="false">
      <c r="A27" s="5" t="s">
        <v>2209</v>
      </c>
      <c r="B27" s="5" t="s">
        <v>361</v>
      </c>
      <c r="C27" s="9" t="s">
        <v>221</v>
      </c>
      <c r="D27" s="5"/>
    </row>
    <row r="28" customFormat="false" ht="43.5" hidden="false" customHeight="true" outlineLevel="0" collapsed="false">
      <c r="A28" s="5" t="s">
        <v>2210</v>
      </c>
      <c r="B28" s="5" t="s">
        <v>361</v>
      </c>
      <c r="C28" s="9" t="s">
        <v>2195</v>
      </c>
      <c r="D28" s="5"/>
    </row>
    <row r="29" customFormat="false" ht="56.25" hidden="false" customHeight="true" outlineLevel="0" collapsed="false">
      <c r="A29" s="5" t="s">
        <v>2211</v>
      </c>
      <c r="B29" s="5" t="s">
        <v>2212</v>
      </c>
      <c r="C29" s="9" t="s">
        <v>2213</v>
      </c>
      <c r="D29" s="5" t="s">
        <v>2214</v>
      </c>
    </row>
    <row r="30" customFormat="false" ht="7.5" hidden="false" customHeight="true" outlineLevel="0" collapsed="false"/>
    <row r="31" customFormat="false" ht="18" hidden="false" customHeight="true" outlineLevel="0" collapsed="false">
      <c r="A31" s="44" t="s">
        <v>2215</v>
      </c>
      <c r="B31" s="44"/>
      <c r="C31" s="44"/>
      <c r="D31" s="44"/>
    </row>
    <row r="32" customFormat="false" ht="16.5" hidden="false" customHeight="true" outlineLevel="0" collapsed="false">
      <c r="A32" s="4" t="s">
        <v>504</v>
      </c>
      <c r="B32" s="4" t="s">
        <v>247</v>
      </c>
      <c r="C32" s="4"/>
      <c r="D32" s="4"/>
    </row>
    <row r="33" customFormat="false" ht="30" hidden="false" customHeight="true" outlineLevel="0" collapsed="false">
      <c r="A33" s="5" t="s">
        <v>2216</v>
      </c>
      <c r="B33" s="5" t="s">
        <v>2217</v>
      </c>
      <c r="C33" s="5"/>
      <c r="D33" s="5"/>
    </row>
    <row r="34" customFormat="false" ht="69.75" hidden="false" customHeight="true" outlineLevel="0" collapsed="false">
      <c r="A34" s="5" t="s">
        <v>2218</v>
      </c>
      <c r="B34" s="5" t="s">
        <v>2219</v>
      </c>
      <c r="C34" s="5"/>
      <c r="D34" s="5"/>
    </row>
    <row r="35" customFormat="false" ht="30" hidden="false" customHeight="true" outlineLevel="0" collapsed="false">
      <c r="A35" s="5" t="s">
        <v>2220</v>
      </c>
      <c r="B35" s="5" t="s">
        <v>2221</v>
      </c>
      <c r="C35" s="5"/>
      <c r="D35" s="5"/>
    </row>
    <row r="36" customFormat="false" ht="7.5" hidden="false" customHeight="true" outlineLevel="0" collapsed="false"/>
    <row r="37" customFormat="false" ht="18" hidden="false" customHeight="true" outlineLevel="0" collapsed="false">
      <c r="A37" s="44" t="s">
        <v>2222</v>
      </c>
      <c r="B37" s="44"/>
      <c r="C37" s="44"/>
      <c r="D37" s="44"/>
    </row>
    <row r="38" customFormat="false" ht="16.5" hidden="false" customHeight="true" outlineLevel="0" collapsed="false">
      <c r="A38" s="5" t="s">
        <v>2223</v>
      </c>
      <c r="B38" s="5"/>
      <c r="C38" s="5"/>
      <c r="D38" s="5"/>
    </row>
    <row r="39" customFormat="false" ht="30" hidden="false" customHeight="true" outlineLevel="0" collapsed="false">
      <c r="A39" s="5" t="s">
        <v>2224</v>
      </c>
      <c r="B39" s="5"/>
      <c r="C39" s="5"/>
      <c r="D39" s="5"/>
    </row>
    <row r="40" customFormat="false" ht="30" hidden="false" customHeight="true" outlineLevel="0" collapsed="false">
      <c r="A40" s="5" t="s">
        <v>2225</v>
      </c>
      <c r="B40" s="5"/>
      <c r="C40" s="5"/>
      <c r="D40" s="5"/>
    </row>
    <row r="41" customFormat="false" ht="7.5" hidden="false" customHeight="true" outlineLevel="0" collapsed="false"/>
    <row r="42" customFormat="false" ht="30" hidden="false" customHeight="true" outlineLevel="0" collapsed="false">
      <c r="A42" s="35" t="s">
        <v>2226</v>
      </c>
      <c r="B42" s="35"/>
      <c r="C42" s="35"/>
      <c r="D42" s="35"/>
    </row>
    <row r="43" customFormat="false" ht="7.5" hidden="false" customHeight="true" outlineLevel="0" collapsed="false"/>
    <row r="44" customFormat="false" ht="16.5" hidden="false" customHeight="true" outlineLevel="0" collapsed="false">
      <c r="A44" s="7" t="s">
        <v>86</v>
      </c>
      <c r="B44" s="7"/>
      <c r="C44" s="7"/>
      <c r="D44" s="7"/>
    </row>
    <row r="45" customFormat="false" ht="16.5" hidden="false" customHeight="true" outlineLevel="0" collapsed="false">
      <c r="A45" s="8" t="s">
        <v>2227</v>
      </c>
      <c r="B45" s="8"/>
      <c r="C45" s="8"/>
      <c r="D45" s="8"/>
    </row>
    <row r="46" customFormat="false" ht="16.5" hidden="false" customHeight="true" outlineLevel="0" collapsed="false">
      <c r="A46" s="8" t="s">
        <v>2228</v>
      </c>
      <c r="B46" s="8"/>
      <c r="C46" s="8"/>
      <c r="D46" s="8"/>
    </row>
    <row r="47" customFormat="false" ht="16.5" hidden="false" customHeight="true" outlineLevel="0" collapsed="false">
      <c r="A47" s="8" t="s">
        <v>2229</v>
      </c>
      <c r="B47" s="8"/>
      <c r="C47" s="8"/>
      <c r="D47" s="8"/>
    </row>
    <row r="48" customFormat="false" ht="16.5" hidden="false" customHeight="true" outlineLevel="0" collapsed="false">
      <c r="A48" s="8" t="s">
        <v>2230</v>
      </c>
      <c r="B48" s="8"/>
      <c r="C48" s="8"/>
      <c r="D48" s="8"/>
    </row>
    <row r="49" customFormat="false" ht="16.5" hidden="false" customHeight="true" outlineLevel="0" collapsed="false">
      <c r="A49" s="8" t="s">
        <v>2231</v>
      </c>
      <c r="B49" s="8"/>
      <c r="C49" s="8"/>
      <c r="D49" s="8"/>
    </row>
    <row r="50" customFormat="false" ht="7.5" hidden="false" customHeight="true" outlineLevel="0" collapsed="false"/>
  </sheetData>
  <mergeCells count="19">
    <mergeCell ref="A1:D1"/>
    <mergeCell ref="A2:D2"/>
    <mergeCell ref="A4:D4"/>
    <mergeCell ref="A31:D31"/>
    <mergeCell ref="B32:D32"/>
    <mergeCell ref="B33:D33"/>
    <mergeCell ref="B34:D34"/>
    <mergeCell ref="B35:D35"/>
    <mergeCell ref="A37:D37"/>
    <mergeCell ref="A38:D38"/>
    <mergeCell ref="A39:D39"/>
    <mergeCell ref="A40:D40"/>
    <mergeCell ref="A42:D42"/>
    <mergeCell ref="A44:D44"/>
    <mergeCell ref="A45:D45"/>
    <mergeCell ref="A46:D46"/>
    <mergeCell ref="A47:D47"/>
    <mergeCell ref="A48:D48"/>
    <mergeCell ref="A49:D4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5470B"/>
    <pageSetUpPr fitToPage="true"/>
  </sheetPr>
  <dimension ref="A1:D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38"/>
  </cols>
  <sheetData>
    <row r="1" customFormat="false" ht="30" hidden="false" customHeight="true" outlineLevel="0" collapsed="false">
      <c r="A1" s="43" t="s">
        <v>2232</v>
      </c>
      <c r="B1" s="43"/>
      <c r="C1" s="43"/>
      <c r="D1" s="43"/>
    </row>
    <row r="2" customFormat="false" ht="33" hidden="false" customHeight="true" outlineLevel="0" collapsed="false">
      <c r="A2" s="2" t="s">
        <v>2233</v>
      </c>
      <c r="B2" s="2"/>
      <c r="C2" s="2"/>
      <c r="D2" s="2"/>
    </row>
    <row r="3" customFormat="false" ht="7.5" hidden="false" customHeight="true" outlineLevel="0" collapsed="false"/>
    <row r="4" customFormat="false" ht="18" hidden="false" customHeight="true" outlineLevel="0" collapsed="false">
      <c r="A4" s="44" t="s">
        <v>2234</v>
      </c>
      <c r="B4" s="44"/>
      <c r="C4" s="44"/>
      <c r="D4" s="44"/>
    </row>
    <row r="5" customFormat="false" ht="16.5" hidden="false" customHeight="true" outlineLevel="0" collapsed="false">
      <c r="A5" s="4" t="s">
        <v>1183</v>
      </c>
      <c r="B5" s="4" t="s">
        <v>1095</v>
      </c>
      <c r="C5" s="4" t="s">
        <v>1431</v>
      </c>
      <c r="D5" s="4"/>
    </row>
    <row r="6" customFormat="false" ht="82.5" hidden="false" customHeight="true" outlineLevel="0" collapsed="false">
      <c r="A6" s="5" t="s">
        <v>2235</v>
      </c>
      <c r="B6" s="5" t="s">
        <v>2236</v>
      </c>
      <c r="C6" s="5" t="s">
        <v>2237</v>
      </c>
      <c r="D6" s="5"/>
    </row>
    <row r="7" customFormat="false" ht="69.75" hidden="false" customHeight="true" outlineLevel="0" collapsed="false">
      <c r="A7" s="5" t="s">
        <v>2238</v>
      </c>
      <c r="B7" s="5" t="s">
        <v>2239</v>
      </c>
      <c r="C7" s="5" t="s">
        <v>2240</v>
      </c>
      <c r="D7" s="5"/>
    </row>
    <row r="8" customFormat="false" ht="96" hidden="false" customHeight="true" outlineLevel="0" collapsed="false">
      <c r="A8" s="5" t="s">
        <v>2241</v>
      </c>
      <c r="B8" s="5" t="s">
        <v>2242</v>
      </c>
      <c r="C8" s="5" t="s">
        <v>2243</v>
      </c>
      <c r="D8" s="5"/>
    </row>
    <row r="9" customFormat="false" ht="16.5" hidden="false" customHeight="true" outlineLevel="0" collapsed="false">
      <c r="A9" s="5" t="s">
        <v>2244</v>
      </c>
      <c r="B9" s="5" t="s">
        <v>2245</v>
      </c>
      <c r="C9" s="5" t="s">
        <v>2246</v>
      </c>
      <c r="D9" s="5"/>
    </row>
    <row r="10" customFormat="false" ht="82.5" hidden="false" customHeight="true" outlineLevel="0" collapsed="false">
      <c r="A10" s="5" t="s">
        <v>2247</v>
      </c>
      <c r="B10" s="5" t="s">
        <v>2248</v>
      </c>
      <c r="C10" s="5" t="s">
        <v>2249</v>
      </c>
      <c r="D10" s="5"/>
    </row>
    <row r="11" customFormat="false" ht="7.5" hidden="false" customHeight="true" outlineLevel="0" collapsed="false"/>
    <row r="12" customFormat="false" ht="16.5" hidden="false" customHeight="true" outlineLevel="0" collapsed="false">
      <c r="A12" s="10" t="s">
        <v>2250</v>
      </c>
      <c r="B12" s="10"/>
      <c r="C12" s="10"/>
      <c r="D12" s="10"/>
    </row>
    <row r="13" customFormat="false" ht="7.5" hidden="false" customHeight="true" outlineLevel="0" collapsed="false"/>
    <row r="14" customFormat="false" ht="18" hidden="false" customHeight="true" outlineLevel="0" collapsed="false">
      <c r="A14" s="44" t="s">
        <v>2251</v>
      </c>
      <c r="B14" s="44"/>
      <c r="C14" s="44"/>
      <c r="D14" s="44"/>
    </row>
    <row r="15" customFormat="false" ht="16.5" hidden="false" customHeight="true" outlineLevel="0" collapsed="false">
      <c r="A15" s="4" t="s">
        <v>1183</v>
      </c>
      <c r="B15" s="4" t="s">
        <v>1095</v>
      </c>
      <c r="C15" s="4" t="s">
        <v>2252</v>
      </c>
      <c r="D15" s="4"/>
    </row>
    <row r="16" customFormat="false" ht="16.5" hidden="false" customHeight="true" outlineLevel="0" collapsed="false">
      <c r="A16" s="5" t="s">
        <v>2253</v>
      </c>
      <c r="B16" s="9"/>
      <c r="C16" s="5" t="s">
        <v>2254</v>
      </c>
      <c r="D16" s="5"/>
    </row>
    <row r="17" customFormat="false" ht="16.5" hidden="false" customHeight="true" outlineLevel="0" collapsed="false">
      <c r="A17" s="5" t="s">
        <v>2255</v>
      </c>
      <c r="B17" s="9"/>
      <c r="C17" s="5" t="s">
        <v>2256</v>
      </c>
      <c r="D17" s="5"/>
    </row>
    <row r="18" customFormat="false" ht="69.75" hidden="false" customHeight="true" outlineLevel="0" collapsed="false">
      <c r="A18" s="5" t="s">
        <v>2257</v>
      </c>
      <c r="B18" s="9" t="s">
        <v>2258</v>
      </c>
      <c r="C18" s="5" t="s">
        <v>2259</v>
      </c>
      <c r="D18" s="5"/>
    </row>
    <row r="19" customFormat="false" ht="122.25" hidden="false" customHeight="true" outlineLevel="0" collapsed="false">
      <c r="A19" s="5" t="s">
        <v>2260</v>
      </c>
      <c r="B19" s="9" t="s">
        <v>2261</v>
      </c>
      <c r="C19" s="5" t="s">
        <v>2262</v>
      </c>
      <c r="D19" s="5"/>
    </row>
    <row r="20" customFormat="false" ht="122.25" hidden="false" customHeight="true" outlineLevel="0" collapsed="false">
      <c r="A20" s="5" t="s">
        <v>2263</v>
      </c>
      <c r="B20" s="9" t="s">
        <v>2264</v>
      </c>
      <c r="C20" s="5" t="s">
        <v>2265</v>
      </c>
      <c r="D20" s="5"/>
    </row>
    <row r="21" customFormat="false" ht="43.5" hidden="false" customHeight="true" outlineLevel="0" collapsed="false">
      <c r="A21" s="5" t="s">
        <v>2266</v>
      </c>
      <c r="B21" s="9" t="s">
        <v>2267</v>
      </c>
      <c r="C21" s="5" t="s">
        <v>177</v>
      </c>
      <c r="D21" s="5"/>
    </row>
    <row r="22" customFormat="false" ht="7.5" hidden="false" customHeight="true" outlineLevel="0" collapsed="false"/>
    <row r="23" customFormat="false" ht="30" hidden="false" customHeight="true" outlineLevel="0" collapsed="false">
      <c r="A23" s="10" t="s">
        <v>2268</v>
      </c>
      <c r="B23" s="10"/>
      <c r="C23" s="10"/>
      <c r="D23" s="10"/>
    </row>
    <row r="24" customFormat="false" ht="7.5" hidden="false" customHeight="true" outlineLevel="0" collapsed="false"/>
    <row r="25" customFormat="false" ht="30" hidden="false" customHeight="true" outlineLevel="0" collapsed="false">
      <c r="A25" s="6" t="s">
        <v>2269</v>
      </c>
      <c r="B25" s="6"/>
      <c r="C25" s="6"/>
      <c r="D25" s="6"/>
    </row>
    <row r="26" customFormat="false" ht="7.5" hidden="false" customHeight="true" outlineLevel="0" collapsed="false"/>
  </sheetData>
  <mergeCells count="20">
    <mergeCell ref="A1:D1"/>
    <mergeCell ref="A2:D2"/>
    <mergeCell ref="A4:D4"/>
    <mergeCell ref="C5:D5"/>
    <mergeCell ref="C6:D6"/>
    <mergeCell ref="C7:D7"/>
    <mergeCell ref="C8:D8"/>
    <mergeCell ref="C9:D9"/>
    <mergeCell ref="C10:D10"/>
    <mergeCell ref="A12:D12"/>
    <mergeCell ref="A14:D14"/>
    <mergeCell ref="C15:D15"/>
    <mergeCell ref="C16:D16"/>
    <mergeCell ref="C17:D17"/>
    <mergeCell ref="C18:D18"/>
    <mergeCell ref="C19:D19"/>
    <mergeCell ref="C20:D20"/>
    <mergeCell ref="C21:D21"/>
    <mergeCell ref="A23:D23"/>
    <mergeCell ref="A25:D2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5470B"/>
    <pageSetUpPr fitToPage="true"/>
  </sheetPr>
  <dimension ref="A1:D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38"/>
  </cols>
  <sheetData>
    <row r="1" customFormat="false" ht="30" hidden="false" customHeight="true" outlineLevel="0" collapsed="false">
      <c r="A1" s="43" t="s">
        <v>2270</v>
      </c>
      <c r="B1" s="43"/>
      <c r="C1" s="43"/>
      <c r="D1" s="43"/>
    </row>
    <row r="2" customFormat="false" ht="33" hidden="false" customHeight="true" outlineLevel="0" collapsed="false">
      <c r="A2" s="2" t="s">
        <v>2271</v>
      </c>
      <c r="B2" s="2"/>
      <c r="C2" s="2"/>
      <c r="D2" s="2"/>
    </row>
    <row r="3" customFormat="false" ht="7.5" hidden="false" customHeight="true" outlineLevel="0" collapsed="false"/>
    <row r="4" customFormat="false" ht="18" hidden="false" customHeight="true" outlineLevel="0" collapsed="false">
      <c r="A4" s="44" t="s">
        <v>2272</v>
      </c>
      <c r="B4" s="44"/>
      <c r="C4" s="44"/>
      <c r="D4" s="44"/>
    </row>
    <row r="5" customFormat="false" ht="16.5" hidden="false" customHeight="true" outlineLevel="0" collapsed="false">
      <c r="A5" s="4" t="s">
        <v>205</v>
      </c>
      <c r="B5" s="4" t="s">
        <v>122</v>
      </c>
      <c r="C5" s="4"/>
      <c r="D5" s="4"/>
    </row>
    <row r="6" customFormat="false" ht="30" hidden="false" customHeight="true" outlineLevel="0" collapsed="false">
      <c r="A6" s="5" t="s">
        <v>1296</v>
      </c>
      <c r="B6" s="5" t="s">
        <v>2273</v>
      </c>
      <c r="C6" s="5"/>
      <c r="D6" s="5"/>
    </row>
    <row r="7" customFormat="false" ht="16.5" hidden="false" customHeight="true" outlineLevel="0" collapsed="false">
      <c r="A7" s="5" t="s">
        <v>2274</v>
      </c>
      <c r="B7" s="5" t="s">
        <v>2275</v>
      </c>
      <c r="C7" s="5"/>
      <c r="D7" s="5"/>
    </row>
    <row r="8" customFormat="false" ht="7.5" hidden="false" customHeight="true" outlineLevel="0" collapsed="false"/>
    <row r="9" customFormat="false" ht="18" hidden="false" customHeight="true" outlineLevel="0" collapsed="false">
      <c r="A9" s="44" t="s">
        <v>2276</v>
      </c>
      <c r="B9" s="44"/>
      <c r="C9" s="44"/>
      <c r="D9" s="44"/>
    </row>
    <row r="10" customFormat="false" ht="16.5" hidden="false" customHeight="true" outlineLevel="0" collapsed="false">
      <c r="A10" s="4" t="s">
        <v>371</v>
      </c>
      <c r="B10" s="4" t="s">
        <v>166</v>
      </c>
      <c r="C10" s="4" t="s">
        <v>1431</v>
      </c>
      <c r="D10" s="4"/>
    </row>
    <row r="11" customFormat="false" ht="30" hidden="false" customHeight="true" outlineLevel="0" collapsed="false">
      <c r="A11" s="5" t="s">
        <v>2277</v>
      </c>
      <c r="B11" s="5" t="s">
        <v>2278</v>
      </c>
      <c r="C11" s="5" t="s">
        <v>2279</v>
      </c>
      <c r="D11" s="5"/>
    </row>
    <row r="12" customFormat="false" ht="30" hidden="false" customHeight="true" outlineLevel="0" collapsed="false">
      <c r="A12" s="5" t="s">
        <v>2280</v>
      </c>
      <c r="B12" s="5" t="s">
        <v>2281</v>
      </c>
      <c r="C12" s="5"/>
      <c r="D12" s="5"/>
    </row>
    <row r="13" customFormat="false" ht="30" hidden="false" customHeight="true" outlineLevel="0" collapsed="false">
      <c r="A13" s="5" t="s">
        <v>2282</v>
      </c>
      <c r="B13" s="5" t="s">
        <v>2283</v>
      </c>
      <c r="C13" s="5"/>
      <c r="D13" s="5"/>
    </row>
    <row r="14" customFormat="false" ht="30" hidden="false" customHeight="true" outlineLevel="0" collapsed="false">
      <c r="A14" s="5" t="s">
        <v>2284</v>
      </c>
      <c r="B14" s="5" t="s">
        <v>2285</v>
      </c>
      <c r="C14" s="5" t="s">
        <v>2286</v>
      </c>
      <c r="D14" s="5"/>
    </row>
    <row r="15" customFormat="false" ht="16.5" hidden="false" customHeight="true" outlineLevel="0" collapsed="false">
      <c r="A15" s="5" t="s">
        <v>2287</v>
      </c>
      <c r="B15" s="5" t="s">
        <v>2288</v>
      </c>
      <c r="C15" s="5" t="s">
        <v>379</v>
      </c>
      <c r="D15" s="5"/>
    </row>
    <row r="16" customFormat="false" ht="30" hidden="false" customHeight="true" outlineLevel="0" collapsed="false">
      <c r="A16" s="5" t="s">
        <v>2289</v>
      </c>
      <c r="B16" s="5" t="s">
        <v>2290</v>
      </c>
      <c r="C16" s="5" t="s">
        <v>384</v>
      </c>
      <c r="D16" s="5"/>
    </row>
    <row r="17" customFormat="false" ht="7.5" hidden="false" customHeight="true" outlineLevel="0" collapsed="false"/>
    <row r="18" customFormat="false" ht="16.5" hidden="false" customHeight="true" outlineLevel="0" collapsed="false">
      <c r="A18" s="10" t="s">
        <v>2291</v>
      </c>
      <c r="B18" s="10"/>
      <c r="C18" s="10"/>
      <c r="D18" s="10"/>
    </row>
    <row r="19" customFormat="false" ht="7.5" hidden="false" customHeight="true" outlineLevel="0" collapsed="false"/>
    <row r="20" customFormat="false" ht="18" hidden="false" customHeight="true" outlineLevel="0" collapsed="false">
      <c r="A20" s="44" t="s">
        <v>2292</v>
      </c>
      <c r="B20" s="44"/>
      <c r="C20" s="44"/>
      <c r="D20" s="44"/>
    </row>
    <row r="21" customFormat="false" ht="16.5" hidden="false" customHeight="true" outlineLevel="0" collapsed="false">
      <c r="A21" s="5" t="s">
        <v>2293</v>
      </c>
      <c r="B21" s="5"/>
      <c r="C21" s="5"/>
      <c r="D21" s="5"/>
    </row>
    <row r="22" customFormat="false" ht="16.5" hidden="false" customHeight="true" outlineLevel="0" collapsed="false">
      <c r="A22" s="5" t="s">
        <v>2294</v>
      </c>
      <c r="B22" s="5"/>
      <c r="C22" s="5"/>
      <c r="D22" s="5"/>
    </row>
    <row r="23" customFormat="false" ht="16.5" hidden="false" customHeight="true" outlineLevel="0" collapsed="false">
      <c r="A23" s="5" t="s">
        <v>2295</v>
      </c>
      <c r="B23" s="5"/>
      <c r="C23" s="5"/>
      <c r="D23" s="5"/>
    </row>
    <row r="24" customFormat="false" ht="16.5" hidden="false" customHeight="true" outlineLevel="0" collapsed="false">
      <c r="A24" s="5" t="s">
        <v>2296</v>
      </c>
      <c r="B24" s="5"/>
      <c r="C24" s="5"/>
      <c r="D24" s="5"/>
    </row>
    <row r="25" customFormat="false" ht="16.5" hidden="false" customHeight="true" outlineLevel="0" collapsed="false">
      <c r="A25" s="5" t="s">
        <v>2297</v>
      </c>
      <c r="B25" s="5"/>
      <c r="C25" s="5"/>
      <c r="D25" s="5"/>
    </row>
    <row r="26" customFormat="false" ht="16.5" hidden="false" customHeight="true" outlineLevel="0" collapsed="false">
      <c r="A26" s="5" t="s">
        <v>2298</v>
      </c>
      <c r="B26" s="5"/>
      <c r="C26" s="5"/>
      <c r="D26" s="5"/>
    </row>
    <row r="27" customFormat="false" ht="16.5" hidden="false" customHeight="true" outlineLevel="0" collapsed="false">
      <c r="A27" s="5" t="s">
        <v>2299</v>
      </c>
      <c r="B27" s="5"/>
      <c r="C27" s="5"/>
      <c r="D27" s="5"/>
    </row>
    <row r="28" customFormat="false" ht="30" hidden="false" customHeight="true" outlineLevel="0" collapsed="false">
      <c r="A28" s="5" t="s">
        <v>2300</v>
      </c>
      <c r="B28" s="5"/>
      <c r="C28" s="5"/>
      <c r="D28" s="5"/>
    </row>
    <row r="29" customFormat="false" ht="16.5" hidden="false" customHeight="true" outlineLevel="0" collapsed="false">
      <c r="A29" s="5" t="s">
        <v>2301</v>
      </c>
      <c r="B29" s="5"/>
      <c r="C29" s="5"/>
      <c r="D29" s="5"/>
    </row>
    <row r="30" customFormat="false" ht="16.5" hidden="false" customHeight="true" outlineLevel="0" collapsed="false">
      <c r="A30" s="5" t="s">
        <v>2302</v>
      </c>
      <c r="B30" s="5"/>
      <c r="C30" s="5"/>
      <c r="D30" s="5"/>
    </row>
    <row r="31" customFormat="false" ht="16.5" hidden="false" customHeight="true" outlineLevel="0" collapsed="false">
      <c r="A31" s="5" t="s">
        <v>2303</v>
      </c>
      <c r="B31" s="5"/>
      <c r="C31" s="5"/>
      <c r="D31" s="5"/>
    </row>
    <row r="32" customFormat="false" ht="16.5" hidden="false" customHeight="true" outlineLevel="0" collapsed="false">
      <c r="A32" s="5" t="s">
        <v>2304</v>
      </c>
      <c r="B32" s="5"/>
      <c r="C32" s="5"/>
      <c r="D32" s="5"/>
    </row>
    <row r="33" customFormat="false" ht="16.5" hidden="false" customHeight="true" outlineLevel="0" collapsed="false">
      <c r="A33" s="5" t="s">
        <v>2305</v>
      </c>
      <c r="B33" s="5"/>
      <c r="C33" s="5"/>
      <c r="D33" s="5"/>
    </row>
    <row r="34" customFormat="false" ht="16.5" hidden="false" customHeight="true" outlineLevel="0" collapsed="false">
      <c r="A34" s="5" t="s">
        <v>2306</v>
      </c>
      <c r="B34" s="5"/>
      <c r="C34" s="5"/>
      <c r="D34" s="5"/>
    </row>
    <row r="35" customFormat="false" ht="7.5" hidden="false" customHeight="true" outlineLevel="0" collapsed="false"/>
    <row r="36" customFormat="false" ht="18" hidden="false" customHeight="true" outlineLevel="0" collapsed="false">
      <c r="A36" s="44" t="s">
        <v>2307</v>
      </c>
      <c r="B36" s="44"/>
      <c r="C36" s="44"/>
      <c r="D36" s="44"/>
    </row>
    <row r="37" customFormat="false" ht="16.5" hidden="false" customHeight="true" outlineLevel="0" collapsed="false">
      <c r="A37" s="4" t="s">
        <v>1183</v>
      </c>
      <c r="B37" s="4" t="s">
        <v>2308</v>
      </c>
      <c r="C37" s="4"/>
      <c r="D37" s="4"/>
    </row>
    <row r="38" customFormat="false" ht="56.25" hidden="false" customHeight="true" outlineLevel="0" collapsed="false">
      <c r="A38" s="5" t="s">
        <v>2309</v>
      </c>
      <c r="B38" s="5" t="s">
        <v>2310</v>
      </c>
      <c r="C38" s="5"/>
      <c r="D38" s="5"/>
    </row>
    <row r="39" customFormat="false" ht="30" hidden="false" customHeight="true" outlineLevel="0" collapsed="false">
      <c r="A39" s="5" t="s">
        <v>2311</v>
      </c>
      <c r="B39" s="5" t="s">
        <v>2312</v>
      </c>
      <c r="C39" s="5"/>
      <c r="D39" s="5"/>
    </row>
    <row r="40" customFormat="false" ht="30" hidden="false" customHeight="true" outlineLevel="0" collapsed="false">
      <c r="A40" s="5" t="s">
        <v>2313</v>
      </c>
      <c r="B40" s="5" t="s">
        <v>2314</v>
      </c>
      <c r="C40" s="5"/>
      <c r="D40" s="5"/>
    </row>
    <row r="41" customFormat="false" ht="43.5" hidden="false" customHeight="true" outlineLevel="0" collapsed="false">
      <c r="A41" s="5" t="s">
        <v>2315</v>
      </c>
      <c r="B41" s="5" t="s">
        <v>2316</v>
      </c>
      <c r="C41" s="5"/>
      <c r="D41" s="5"/>
    </row>
    <row r="42" customFormat="false" ht="30" hidden="false" customHeight="true" outlineLevel="0" collapsed="false">
      <c r="A42" s="5" t="s">
        <v>2317</v>
      </c>
      <c r="B42" s="5" t="s">
        <v>2318</v>
      </c>
      <c r="C42" s="5"/>
      <c r="D42" s="5"/>
    </row>
    <row r="43" customFormat="false" ht="30" hidden="false" customHeight="true" outlineLevel="0" collapsed="false">
      <c r="A43" s="5" t="s">
        <v>2319</v>
      </c>
      <c r="B43" s="5" t="s">
        <v>2320</v>
      </c>
      <c r="C43" s="5"/>
      <c r="D43" s="5"/>
    </row>
    <row r="44" customFormat="false" ht="7.5" hidden="false" customHeight="true" outlineLevel="0" collapsed="false"/>
    <row r="45" customFormat="false" ht="16.5" hidden="false" customHeight="true" outlineLevel="0" collapsed="false">
      <c r="A45" s="7" t="s">
        <v>86</v>
      </c>
      <c r="B45" s="7"/>
      <c r="C45" s="7"/>
      <c r="D45" s="7"/>
    </row>
    <row r="46" customFormat="false" ht="16.5" hidden="false" customHeight="true" outlineLevel="0" collapsed="false">
      <c r="A46" s="8" t="s">
        <v>2321</v>
      </c>
      <c r="B46" s="8"/>
      <c r="C46" s="8"/>
      <c r="D46" s="8"/>
    </row>
    <row r="47" customFormat="false" ht="16.5" hidden="false" customHeight="true" outlineLevel="0" collapsed="false">
      <c r="A47" s="8" t="s">
        <v>2322</v>
      </c>
      <c r="B47" s="8"/>
      <c r="C47" s="8"/>
      <c r="D47" s="8"/>
    </row>
    <row r="48" customFormat="false" ht="16.5" hidden="false" customHeight="true" outlineLevel="0" collapsed="false">
      <c r="A48" s="8" t="s">
        <v>2323</v>
      </c>
      <c r="B48" s="8"/>
      <c r="C48" s="8"/>
      <c r="D48" s="8"/>
    </row>
    <row r="49" customFormat="false" ht="16.5" hidden="false" customHeight="true" outlineLevel="0" collapsed="false">
      <c r="A49" s="8" t="s">
        <v>2324</v>
      </c>
      <c r="B49" s="8"/>
      <c r="C49" s="8"/>
      <c r="D49" s="8"/>
    </row>
    <row r="50" customFormat="false" ht="16.5" hidden="false" customHeight="true" outlineLevel="0" collapsed="false">
      <c r="A50" s="8" t="s">
        <v>2325</v>
      </c>
      <c r="B50" s="8"/>
      <c r="C50" s="8"/>
      <c r="D50" s="8"/>
    </row>
    <row r="51" customFormat="false" ht="7.5" hidden="false" customHeight="true" outlineLevel="0" collapsed="false"/>
  </sheetData>
  <mergeCells count="44">
    <mergeCell ref="A1:D1"/>
    <mergeCell ref="A2:D2"/>
    <mergeCell ref="A4:D4"/>
    <mergeCell ref="B5:D5"/>
    <mergeCell ref="B6:D6"/>
    <mergeCell ref="B7:D7"/>
    <mergeCell ref="A9:D9"/>
    <mergeCell ref="C10:D10"/>
    <mergeCell ref="C11:D11"/>
    <mergeCell ref="C12:D12"/>
    <mergeCell ref="C13:D13"/>
    <mergeCell ref="C14:D14"/>
    <mergeCell ref="C15:D15"/>
    <mergeCell ref="C16:D16"/>
    <mergeCell ref="A18:D18"/>
    <mergeCell ref="A20:D20"/>
    <mergeCell ref="A21:D21"/>
    <mergeCell ref="A22:D22"/>
    <mergeCell ref="A23:D23"/>
    <mergeCell ref="A24:D24"/>
    <mergeCell ref="A25:D25"/>
    <mergeCell ref="A26:D26"/>
    <mergeCell ref="A27:D27"/>
    <mergeCell ref="A28:D28"/>
    <mergeCell ref="A29:D29"/>
    <mergeCell ref="A30:D30"/>
    <mergeCell ref="A31:D31"/>
    <mergeCell ref="A32:D32"/>
    <mergeCell ref="A33:D33"/>
    <mergeCell ref="A34:D34"/>
    <mergeCell ref="A36:D36"/>
    <mergeCell ref="B37:D37"/>
    <mergeCell ref="B38:D38"/>
    <mergeCell ref="B39:D39"/>
    <mergeCell ref="B40:D40"/>
    <mergeCell ref="B41:D41"/>
    <mergeCell ref="B42:D42"/>
    <mergeCell ref="B43:D43"/>
    <mergeCell ref="A45:D45"/>
    <mergeCell ref="A46:D46"/>
    <mergeCell ref="A47:D47"/>
    <mergeCell ref="A48:D48"/>
    <mergeCell ref="A49:D49"/>
    <mergeCell ref="A50:D5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95C"/>
    <pageSetUpPr fitToPage="true"/>
  </sheetPr>
  <dimension ref="A1:D1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38"/>
  </cols>
  <sheetData>
    <row r="1" customFormat="false" ht="30" hidden="false" customHeight="true" outlineLevel="0" collapsed="false">
      <c r="A1" s="45" t="s">
        <v>2326</v>
      </c>
      <c r="B1" s="45"/>
      <c r="C1" s="45"/>
      <c r="D1" s="45"/>
    </row>
    <row r="2" customFormat="false" ht="33" hidden="false" customHeight="true" outlineLevel="0" collapsed="false">
      <c r="A2" s="2" t="s">
        <v>2327</v>
      </c>
      <c r="B2" s="2"/>
      <c r="C2" s="2"/>
      <c r="D2" s="2"/>
    </row>
    <row r="3" customFormat="false" ht="7.5" hidden="false" customHeight="true" outlineLevel="0" collapsed="false"/>
    <row r="4" customFormat="false" ht="18" hidden="false" customHeight="true" outlineLevel="0" collapsed="false">
      <c r="A4" s="46" t="s">
        <v>2328</v>
      </c>
      <c r="B4" s="46"/>
      <c r="C4" s="46"/>
      <c r="D4" s="46"/>
    </row>
    <row r="5" customFormat="false" ht="16.5" hidden="false" customHeight="true" outlineLevel="0" collapsed="false">
      <c r="A5" s="5" t="s">
        <v>2329</v>
      </c>
      <c r="B5" s="5"/>
      <c r="C5" s="5"/>
      <c r="D5" s="5"/>
    </row>
    <row r="6" customFormat="false" ht="43.5" hidden="false" customHeight="true" outlineLevel="0" collapsed="false">
      <c r="A6" s="5" t="s">
        <v>2330</v>
      </c>
      <c r="B6" s="5"/>
      <c r="C6" s="5"/>
      <c r="D6" s="5"/>
    </row>
    <row r="7" customFormat="false" ht="16.5" hidden="false" customHeight="true" outlineLevel="0" collapsed="false">
      <c r="A7" s="5" t="s">
        <v>2331</v>
      </c>
      <c r="B7" s="5"/>
      <c r="C7" s="5"/>
      <c r="D7" s="5"/>
    </row>
    <row r="8" customFormat="false" ht="30" hidden="false" customHeight="true" outlineLevel="0" collapsed="false">
      <c r="A8" s="5" t="s">
        <v>2332</v>
      </c>
      <c r="B8" s="5"/>
      <c r="C8" s="5"/>
      <c r="D8" s="5"/>
    </row>
    <row r="9" customFormat="false" ht="16.5" hidden="false" customHeight="true" outlineLevel="0" collapsed="false">
      <c r="A9" s="5" t="s">
        <v>2333</v>
      </c>
      <c r="B9" s="5"/>
      <c r="C9" s="5"/>
      <c r="D9" s="5"/>
    </row>
    <row r="10" customFormat="false" ht="7.5" hidden="false" customHeight="true" outlineLevel="0" collapsed="false"/>
    <row r="11" customFormat="false" ht="30" hidden="false" customHeight="true" outlineLevel="0" collapsed="false">
      <c r="A11" s="10" t="s">
        <v>2334</v>
      </c>
      <c r="B11" s="10"/>
      <c r="C11" s="10"/>
      <c r="D11" s="10"/>
    </row>
    <row r="12" customFormat="false" ht="7.5" hidden="false" customHeight="true" outlineLevel="0" collapsed="false"/>
    <row r="13" customFormat="false" ht="18" hidden="false" customHeight="true" outlineLevel="0" collapsed="false">
      <c r="A13" s="46" t="s">
        <v>2335</v>
      </c>
      <c r="B13" s="46"/>
      <c r="C13" s="46"/>
      <c r="D13" s="46"/>
    </row>
    <row r="14" customFormat="false" ht="16.5" hidden="false" customHeight="true" outlineLevel="0" collapsed="false">
      <c r="A14" s="5" t="s">
        <v>2336</v>
      </c>
      <c r="B14" s="5"/>
      <c r="C14" s="5"/>
      <c r="D14" s="5"/>
    </row>
    <row r="15" customFormat="false" ht="16.5" hidden="false" customHeight="true" outlineLevel="0" collapsed="false">
      <c r="A15" s="5" t="s">
        <v>2337</v>
      </c>
      <c r="B15" s="5"/>
      <c r="C15" s="5"/>
      <c r="D15" s="5"/>
    </row>
    <row r="16" customFormat="false" ht="16.5" hidden="false" customHeight="true" outlineLevel="0" collapsed="false">
      <c r="A16" s="5" t="s">
        <v>2338</v>
      </c>
      <c r="B16" s="5"/>
      <c r="C16" s="5"/>
      <c r="D16" s="5"/>
    </row>
    <row r="17" customFormat="false" ht="16.5" hidden="false" customHeight="true" outlineLevel="0" collapsed="false">
      <c r="A17" s="5" t="s">
        <v>2339</v>
      </c>
      <c r="B17" s="5"/>
      <c r="C17" s="5"/>
      <c r="D17" s="5"/>
    </row>
    <row r="18" customFormat="false" ht="16.5" hidden="false" customHeight="true" outlineLevel="0" collapsed="false">
      <c r="A18" s="5" t="s">
        <v>2340</v>
      </c>
      <c r="B18" s="5"/>
      <c r="C18" s="5"/>
      <c r="D18" s="5"/>
    </row>
    <row r="19" customFormat="false" ht="7.5" hidden="false" customHeight="true" outlineLevel="0" collapsed="false"/>
    <row r="20" customFormat="false" ht="43.5" hidden="false" customHeight="true" outlineLevel="0" collapsed="false">
      <c r="A20" s="6" t="s">
        <v>2341</v>
      </c>
      <c r="B20" s="6"/>
      <c r="C20" s="6"/>
      <c r="D20" s="6"/>
    </row>
    <row r="21" customFormat="false" ht="7.5" hidden="false" customHeight="true" outlineLevel="0" collapsed="false"/>
    <row r="22" customFormat="false" ht="18" hidden="false" customHeight="true" outlineLevel="0" collapsed="false">
      <c r="A22" s="46" t="s">
        <v>2342</v>
      </c>
      <c r="B22" s="46"/>
      <c r="C22" s="46"/>
      <c r="D22" s="46"/>
    </row>
    <row r="23" customFormat="false" ht="16.5" hidden="false" customHeight="true" outlineLevel="0" collapsed="false">
      <c r="A23" s="4" t="s">
        <v>2343</v>
      </c>
      <c r="B23" s="4" t="s">
        <v>2344</v>
      </c>
      <c r="C23" s="4" t="s">
        <v>1431</v>
      </c>
      <c r="D23" s="4"/>
    </row>
    <row r="24" customFormat="false" ht="16.5" hidden="false" customHeight="true" outlineLevel="0" collapsed="false">
      <c r="A24" s="5" t="s">
        <v>2345</v>
      </c>
      <c r="B24" s="9" t="s">
        <v>211</v>
      </c>
      <c r="C24" s="5" t="s">
        <v>2346</v>
      </c>
      <c r="D24" s="5"/>
    </row>
    <row r="25" customFormat="false" ht="16.5" hidden="false" customHeight="true" outlineLevel="0" collapsed="false">
      <c r="A25" s="5" t="s">
        <v>2347</v>
      </c>
      <c r="B25" s="9" t="s">
        <v>134</v>
      </c>
      <c r="C25" s="5" t="s">
        <v>2348</v>
      </c>
      <c r="D25" s="5"/>
    </row>
    <row r="26" customFormat="false" ht="16.5" hidden="false" customHeight="true" outlineLevel="0" collapsed="false">
      <c r="A26" s="5" t="s">
        <v>2349</v>
      </c>
      <c r="B26" s="9" t="s">
        <v>418</v>
      </c>
      <c r="C26" s="5" t="s">
        <v>1546</v>
      </c>
      <c r="D26" s="5"/>
    </row>
    <row r="27" customFormat="false" ht="16.5" hidden="false" customHeight="true" outlineLevel="0" collapsed="false">
      <c r="A27" s="5" t="s">
        <v>2350</v>
      </c>
      <c r="B27" s="9" t="s">
        <v>418</v>
      </c>
      <c r="C27" s="5" t="s">
        <v>1160</v>
      </c>
      <c r="D27" s="5"/>
    </row>
    <row r="28" customFormat="false" ht="16.5" hidden="false" customHeight="true" outlineLevel="0" collapsed="false">
      <c r="A28" s="5" t="s">
        <v>2351</v>
      </c>
      <c r="B28" s="9" t="s">
        <v>418</v>
      </c>
      <c r="C28" s="5" t="s">
        <v>2352</v>
      </c>
      <c r="D28" s="5"/>
    </row>
    <row r="29" customFormat="false" ht="16.5" hidden="false" customHeight="true" outlineLevel="0" collapsed="false">
      <c r="A29" s="5" t="s">
        <v>2353</v>
      </c>
      <c r="B29" s="9" t="s">
        <v>211</v>
      </c>
      <c r="C29" s="5" t="s">
        <v>2354</v>
      </c>
      <c r="D29" s="5"/>
    </row>
    <row r="30" customFormat="false" ht="7.5" hidden="false" customHeight="true" outlineLevel="0" collapsed="false"/>
    <row r="31" customFormat="false" ht="16.5" hidden="false" customHeight="true" outlineLevel="0" collapsed="false">
      <c r="A31" s="10" t="s">
        <v>2355</v>
      </c>
      <c r="B31" s="10"/>
      <c r="C31" s="10"/>
      <c r="D31" s="10"/>
    </row>
    <row r="32" customFormat="false" ht="7.5" hidden="false" customHeight="true" outlineLevel="0" collapsed="false"/>
    <row r="33" customFormat="false" ht="30" hidden="false" customHeight="true" outlineLevel="0" collapsed="false">
      <c r="A33" s="4" t="s">
        <v>2356</v>
      </c>
      <c r="B33" s="4" t="s">
        <v>2357</v>
      </c>
      <c r="C33" s="4" t="s">
        <v>2344</v>
      </c>
      <c r="D33" s="4"/>
    </row>
    <row r="34" customFormat="false" ht="16.5" hidden="false" customHeight="true" outlineLevel="0" collapsed="false">
      <c r="A34" s="5" t="s">
        <v>2358</v>
      </c>
      <c r="B34" s="5" t="s">
        <v>2359</v>
      </c>
      <c r="C34" s="9" t="s">
        <v>100</v>
      </c>
      <c r="D34" s="9"/>
    </row>
    <row r="35" customFormat="false" ht="16.5" hidden="false" customHeight="true" outlineLevel="0" collapsed="false">
      <c r="A35" s="5" t="s">
        <v>2359</v>
      </c>
      <c r="B35" s="5" t="s">
        <v>2360</v>
      </c>
      <c r="C35" s="9" t="s">
        <v>221</v>
      </c>
      <c r="D35" s="9"/>
    </row>
    <row r="36" customFormat="false" ht="16.5" hidden="false" customHeight="true" outlineLevel="0" collapsed="false">
      <c r="A36" s="5" t="s">
        <v>2360</v>
      </c>
      <c r="B36" s="5" t="s">
        <v>2361</v>
      </c>
      <c r="C36" s="9" t="s">
        <v>211</v>
      </c>
      <c r="D36" s="9"/>
    </row>
    <row r="37" customFormat="false" ht="16.5" hidden="false" customHeight="true" outlineLevel="0" collapsed="false">
      <c r="A37" s="5" t="s">
        <v>2361</v>
      </c>
      <c r="B37" s="5" t="s">
        <v>2362</v>
      </c>
      <c r="C37" s="9" t="s">
        <v>142</v>
      </c>
      <c r="D37" s="9"/>
    </row>
    <row r="38" customFormat="false" ht="16.5" hidden="false" customHeight="true" outlineLevel="0" collapsed="false">
      <c r="A38" s="5" t="s">
        <v>2362</v>
      </c>
      <c r="B38" s="5" t="s">
        <v>2363</v>
      </c>
      <c r="C38" s="9" t="s">
        <v>356</v>
      </c>
      <c r="D38" s="9"/>
    </row>
    <row r="39" customFormat="false" ht="16.5" hidden="false" customHeight="true" outlineLevel="0" collapsed="false">
      <c r="A39" s="5" t="s">
        <v>2363</v>
      </c>
      <c r="B39" s="5" t="s">
        <v>1276</v>
      </c>
      <c r="C39" s="9" t="s">
        <v>292</v>
      </c>
      <c r="D39" s="9"/>
    </row>
    <row r="40" customFormat="false" ht="16.5" hidden="false" customHeight="true" outlineLevel="0" collapsed="false">
      <c r="A40" s="5" t="s">
        <v>1276</v>
      </c>
      <c r="B40" s="5" t="s">
        <v>277</v>
      </c>
      <c r="C40" s="9" t="s">
        <v>134</v>
      </c>
      <c r="D40" s="9"/>
    </row>
    <row r="41" customFormat="false" ht="16.5" hidden="false" customHeight="true" outlineLevel="0" collapsed="false">
      <c r="A41" s="5" t="s">
        <v>277</v>
      </c>
      <c r="B41" s="5" t="s">
        <v>2364</v>
      </c>
      <c r="C41" s="9" t="s">
        <v>418</v>
      </c>
      <c r="D41" s="9"/>
    </row>
    <row r="42" customFormat="false" ht="16.5" hidden="false" customHeight="true" outlineLevel="0" collapsed="false">
      <c r="A42" s="5" t="s">
        <v>2365</v>
      </c>
      <c r="B42" s="5" t="s">
        <v>1988</v>
      </c>
      <c r="C42" s="9" t="s">
        <v>1992</v>
      </c>
      <c r="D42" s="9"/>
    </row>
    <row r="43" customFormat="false" ht="7.5" hidden="false" customHeight="true" outlineLevel="0" collapsed="false"/>
    <row r="44" customFormat="false" ht="30" hidden="false" customHeight="true" outlineLevel="0" collapsed="false">
      <c r="A44" s="4" t="s">
        <v>2366</v>
      </c>
      <c r="B44" s="4" t="s">
        <v>2357</v>
      </c>
      <c r="C44" s="4" t="s">
        <v>2344</v>
      </c>
      <c r="D44" s="4"/>
    </row>
    <row r="45" customFormat="false" ht="16.5" hidden="false" customHeight="true" outlineLevel="0" collapsed="false">
      <c r="A45" s="5" t="s">
        <v>2358</v>
      </c>
      <c r="B45" s="5" t="s">
        <v>2360</v>
      </c>
      <c r="C45" s="9" t="s">
        <v>142</v>
      </c>
      <c r="D45" s="9"/>
    </row>
    <row r="46" customFormat="false" ht="16.5" hidden="false" customHeight="true" outlineLevel="0" collapsed="false">
      <c r="A46" s="5" t="s">
        <v>2360</v>
      </c>
      <c r="B46" s="5" t="s">
        <v>2361</v>
      </c>
      <c r="C46" s="9" t="s">
        <v>356</v>
      </c>
      <c r="D46" s="9"/>
    </row>
    <row r="47" customFormat="false" ht="16.5" hidden="false" customHeight="true" outlineLevel="0" collapsed="false">
      <c r="A47" s="5" t="s">
        <v>2361</v>
      </c>
      <c r="B47" s="5" t="s">
        <v>2362</v>
      </c>
      <c r="C47" s="9" t="s">
        <v>292</v>
      </c>
      <c r="D47" s="9"/>
    </row>
    <row r="48" customFormat="false" ht="16.5" hidden="false" customHeight="true" outlineLevel="0" collapsed="false">
      <c r="A48" s="5" t="s">
        <v>2362</v>
      </c>
      <c r="B48" s="5" t="s">
        <v>2363</v>
      </c>
      <c r="C48" s="9" t="s">
        <v>134</v>
      </c>
      <c r="D48" s="9"/>
    </row>
    <row r="49" customFormat="false" ht="16.5" hidden="false" customHeight="true" outlineLevel="0" collapsed="false">
      <c r="A49" s="5" t="s">
        <v>2363</v>
      </c>
      <c r="B49" s="5" t="s">
        <v>1276</v>
      </c>
      <c r="C49" s="9" t="s">
        <v>2367</v>
      </c>
      <c r="D49" s="9"/>
    </row>
    <row r="50" customFormat="false" ht="16.5" hidden="false" customHeight="true" outlineLevel="0" collapsed="false">
      <c r="A50" s="5" t="s">
        <v>2368</v>
      </c>
      <c r="B50" s="5" t="s">
        <v>1988</v>
      </c>
      <c r="C50" s="9" t="s">
        <v>418</v>
      </c>
      <c r="D50" s="9"/>
    </row>
    <row r="51" customFormat="false" ht="7.5" hidden="false" customHeight="true" outlineLevel="0" collapsed="false"/>
    <row r="52" customFormat="false" ht="30" hidden="false" customHeight="true" outlineLevel="0" collapsed="false">
      <c r="A52" s="4" t="s">
        <v>2369</v>
      </c>
      <c r="B52" s="4" t="s">
        <v>2357</v>
      </c>
      <c r="C52" s="4" t="s">
        <v>2344</v>
      </c>
      <c r="D52" s="4"/>
    </row>
    <row r="53" customFormat="false" ht="16.5" hidden="false" customHeight="true" outlineLevel="0" collapsed="false">
      <c r="A53" s="5" t="s">
        <v>2358</v>
      </c>
      <c r="B53" s="5" t="s">
        <v>2360</v>
      </c>
      <c r="C53" s="9" t="s">
        <v>356</v>
      </c>
      <c r="D53" s="9"/>
    </row>
    <row r="54" customFormat="false" ht="16.5" hidden="false" customHeight="true" outlineLevel="0" collapsed="false">
      <c r="A54" s="5" t="s">
        <v>2360</v>
      </c>
      <c r="B54" s="5" t="s">
        <v>2361</v>
      </c>
      <c r="C54" s="9" t="s">
        <v>292</v>
      </c>
      <c r="D54" s="9"/>
    </row>
    <row r="55" customFormat="false" ht="16.5" hidden="false" customHeight="true" outlineLevel="0" collapsed="false">
      <c r="A55" s="5" t="s">
        <v>2361</v>
      </c>
      <c r="B55" s="5" t="s">
        <v>2362</v>
      </c>
      <c r="C55" s="9" t="s">
        <v>134</v>
      </c>
      <c r="D55" s="9"/>
    </row>
    <row r="56" customFormat="false" ht="16.5" hidden="false" customHeight="true" outlineLevel="0" collapsed="false">
      <c r="A56" s="5" t="s">
        <v>2362</v>
      </c>
      <c r="B56" s="5" t="s">
        <v>2363</v>
      </c>
      <c r="C56" s="9" t="s">
        <v>418</v>
      </c>
      <c r="D56" s="9"/>
    </row>
    <row r="57" customFormat="false" ht="16.5" hidden="false" customHeight="true" outlineLevel="0" collapsed="false">
      <c r="A57" s="5" t="s">
        <v>2363</v>
      </c>
      <c r="B57" s="5" t="s">
        <v>1276</v>
      </c>
      <c r="C57" s="9" t="s">
        <v>1992</v>
      </c>
      <c r="D57" s="9"/>
    </row>
    <row r="58" customFormat="false" ht="16.5" hidden="false" customHeight="true" outlineLevel="0" collapsed="false">
      <c r="A58" s="5" t="s">
        <v>1276</v>
      </c>
      <c r="B58" s="5" t="s">
        <v>277</v>
      </c>
      <c r="C58" s="9" t="s">
        <v>2370</v>
      </c>
      <c r="D58" s="9"/>
    </row>
    <row r="59" customFormat="false" ht="16.5" hidden="false" customHeight="true" outlineLevel="0" collapsed="false">
      <c r="A59" s="5" t="s">
        <v>277</v>
      </c>
      <c r="B59" s="5" t="s">
        <v>2364</v>
      </c>
      <c r="C59" s="9" t="s">
        <v>2371</v>
      </c>
      <c r="D59" s="9"/>
    </row>
    <row r="60" customFormat="false" ht="16.5" hidden="false" customHeight="true" outlineLevel="0" collapsed="false">
      <c r="A60" s="5" t="s">
        <v>2365</v>
      </c>
      <c r="B60" s="5" t="s">
        <v>1988</v>
      </c>
      <c r="C60" s="9" t="s">
        <v>1990</v>
      </c>
      <c r="D60" s="9"/>
    </row>
    <row r="61" customFormat="false" ht="7.5" hidden="false" customHeight="true" outlineLevel="0" collapsed="false"/>
    <row r="62" customFormat="false" ht="30" hidden="false" customHeight="true" outlineLevel="0" collapsed="false">
      <c r="A62" s="4" t="s">
        <v>2372</v>
      </c>
      <c r="B62" s="4" t="s">
        <v>2357</v>
      </c>
      <c r="C62" s="4" t="s">
        <v>2344</v>
      </c>
      <c r="D62" s="4"/>
    </row>
    <row r="63" customFormat="false" ht="16.5" hidden="false" customHeight="true" outlineLevel="0" collapsed="false">
      <c r="A63" s="5" t="s">
        <v>2358</v>
      </c>
      <c r="B63" s="5" t="s">
        <v>2360</v>
      </c>
      <c r="C63" s="9" t="s">
        <v>2367</v>
      </c>
      <c r="D63" s="9"/>
    </row>
    <row r="64" customFormat="false" ht="16.5" hidden="false" customHeight="true" outlineLevel="0" collapsed="false">
      <c r="A64" s="5" t="s">
        <v>2360</v>
      </c>
      <c r="B64" s="5" t="s">
        <v>2361</v>
      </c>
      <c r="C64" s="9" t="s">
        <v>418</v>
      </c>
      <c r="D64" s="9"/>
    </row>
    <row r="65" customFormat="false" ht="16.5" hidden="false" customHeight="true" outlineLevel="0" collapsed="false">
      <c r="A65" s="5" t="s">
        <v>2361</v>
      </c>
      <c r="B65" s="5" t="s">
        <v>2362</v>
      </c>
      <c r="C65" s="9" t="s">
        <v>2373</v>
      </c>
      <c r="D65" s="9"/>
    </row>
    <row r="66" customFormat="false" ht="16.5" hidden="false" customHeight="true" outlineLevel="0" collapsed="false">
      <c r="A66" s="5" t="s">
        <v>2362</v>
      </c>
      <c r="B66" s="5" t="s">
        <v>2363</v>
      </c>
      <c r="C66" s="9" t="s">
        <v>1992</v>
      </c>
      <c r="D66" s="9"/>
    </row>
    <row r="67" customFormat="false" ht="16.5" hidden="false" customHeight="true" outlineLevel="0" collapsed="false">
      <c r="A67" s="5" t="s">
        <v>2363</v>
      </c>
      <c r="B67" s="5" t="s">
        <v>1276</v>
      </c>
      <c r="C67" s="9" t="s">
        <v>2374</v>
      </c>
      <c r="D67" s="9"/>
    </row>
    <row r="68" customFormat="false" ht="16.5" hidden="false" customHeight="true" outlineLevel="0" collapsed="false">
      <c r="A68" s="5" t="s">
        <v>2368</v>
      </c>
      <c r="B68" s="5" t="s">
        <v>1988</v>
      </c>
      <c r="C68" s="9" t="s">
        <v>2370</v>
      </c>
      <c r="D68" s="9"/>
    </row>
    <row r="69" customFormat="false" ht="7.5" hidden="false" customHeight="true" outlineLevel="0" collapsed="false"/>
    <row r="70" customFormat="false" ht="30" hidden="false" customHeight="true" outlineLevel="0" collapsed="false">
      <c r="A70" s="10" t="s">
        <v>2375</v>
      </c>
      <c r="B70" s="10"/>
      <c r="C70" s="10"/>
      <c r="D70" s="10"/>
    </row>
    <row r="71" customFormat="false" ht="7.5" hidden="false" customHeight="true" outlineLevel="0" collapsed="false"/>
    <row r="72" customFormat="false" ht="16.5" hidden="false" customHeight="true" outlineLevel="0" collapsed="false">
      <c r="A72" s="4" t="s">
        <v>2376</v>
      </c>
      <c r="B72" s="4" t="s">
        <v>2344</v>
      </c>
      <c r="C72" s="4" t="s">
        <v>1431</v>
      </c>
      <c r="D72" s="4"/>
    </row>
    <row r="73" customFormat="false" ht="16.5" hidden="false" customHeight="true" outlineLevel="0" collapsed="false">
      <c r="A73" s="5" t="s">
        <v>2347</v>
      </c>
      <c r="B73" s="9" t="s">
        <v>134</v>
      </c>
      <c r="C73" s="5" t="s">
        <v>2348</v>
      </c>
      <c r="D73" s="5"/>
    </row>
    <row r="74" customFormat="false" ht="16.5" hidden="false" customHeight="true" outlineLevel="0" collapsed="false">
      <c r="A74" s="5" t="s">
        <v>2345</v>
      </c>
      <c r="B74" s="9" t="s">
        <v>418</v>
      </c>
      <c r="C74" s="5" t="s">
        <v>2346</v>
      </c>
      <c r="D74" s="5"/>
    </row>
    <row r="75" customFormat="false" ht="16.5" hidden="false" customHeight="true" outlineLevel="0" collapsed="false">
      <c r="A75" s="5" t="s">
        <v>2349</v>
      </c>
      <c r="B75" s="9" t="s">
        <v>1990</v>
      </c>
      <c r="C75" s="5" t="s">
        <v>1546</v>
      </c>
      <c r="D75" s="5"/>
    </row>
    <row r="76" customFormat="false" ht="16.5" hidden="false" customHeight="true" outlineLevel="0" collapsed="false">
      <c r="A76" s="5" t="s">
        <v>2350</v>
      </c>
      <c r="B76" s="9" t="s">
        <v>1990</v>
      </c>
      <c r="C76" s="5" t="s">
        <v>1160</v>
      </c>
      <c r="D76" s="5"/>
    </row>
    <row r="77" customFormat="false" ht="7.5" hidden="false" customHeight="true" outlineLevel="0" collapsed="false"/>
    <row r="78" customFormat="false" ht="43.5" hidden="false" customHeight="true" outlineLevel="0" collapsed="false">
      <c r="A78" s="4" t="s">
        <v>2377</v>
      </c>
      <c r="B78" s="4" t="s">
        <v>2344</v>
      </c>
      <c r="C78" s="4"/>
      <c r="D78" s="4"/>
    </row>
    <row r="79" customFormat="false" ht="16.5" hidden="false" customHeight="true" outlineLevel="0" collapsed="false">
      <c r="A79" s="5" t="s">
        <v>2378</v>
      </c>
      <c r="B79" s="9" t="s">
        <v>185</v>
      </c>
      <c r="C79" s="9"/>
      <c r="D79" s="9"/>
    </row>
    <row r="80" customFormat="false" ht="16.5" hidden="false" customHeight="true" outlineLevel="0" collapsed="false">
      <c r="A80" s="5" t="s">
        <v>2379</v>
      </c>
      <c r="B80" s="9" t="s">
        <v>185</v>
      </c>
      <c r="C80" s="9"/>
      <c r="D80" s="9"/>
    </row>
    <row r="81" customFormat="false" ht="16.5" hidden="false" customHeight="true" outlineLevel="0" collapsed="false">
      <c r="A81" s="5" t="s">
        <v>2380</v>
      </c>
      <c r="B81" s="9" t="s">
        <v>185</v>
      </c>
      <c r="C81" s="9"/>
      <c r="D81" s="9"/>
    </row>
    <row r="82" customFormat="false" ht="16.5" hidden="false" customHeight="true" outlineLevel="0" collapsed="false">
      <c r="A82" s="5" t="s">
        <v>2381</v>
      </c>
      <c r="B82" s="9" t="s">
        <v>221</v>
      </c>
      <c r="C82" s="9"/>
      <c r="D82" s="9"/>
    </row>
    <row r="83" customFormat="false" ht="56.25" hidden="false" customHeight="true" outlineLevel="0" collapsed="false">
      <c r="A83" s="5" t="s">
        <v>2382</v>
      </c>
      <c r="B83" s="9" t="s">
        <v>221</v>
      </c>
      <c r="C83" s="9"/>
      <c r="D83" s="9"/>
    </row>
    <row r="84" customFormat="false" ht="7.5" hidden="false" customHeight="true" outlineLevel="0" collapsed="false"/>
    <row r="85" customFormat="false" ht="18" hidden="false" customHeight="true" outlineLevel="0" collapsed="false">
      <c r="A85" s="46" t="s">
        <v>2383</v>
      </c>
      <c r="B85" s="46"/>
      <c r="C85" s="46"/>
      <c r="D85" s="46"/>
    </row>
    <row r="86" customFormat="false" ht="16.5" hidden="false" customHeight="true" outlineLevel="0" collapsed="false">
      <c r="A86" s="5" t="s">
        <v>2384</v>
      </c>
      <c r="B86" s="5"/>
      <c r="C86" s="5"/>
      <c r="D86" s="5"/>
    </row>
    <row r="87" customFormat="false" ht="16.5" hidden="false" customHeight="true" outlineLevel="0" collapsed="false">
      <c r="A87" s="5" t="s">
        <v>2385</v>
      </c>
      <c r="B87" s="5"/>
      <c r="C87" s="5"/>
      <c r="D87" s="5"/>
    </row>
    <row r="88" customFormat="false" ht="16.5" hidden="false" customHeight="true" outlineLevel="0" collapsed="false">
      <c r="A88" s="5" t="s">
        <v>2386</v>
      </c>
      <c r="B88" s="5"/>
      <c r="C88" s="5"/>
      <c r="D88" s="5"/>
    </row>
    <row r="89" customFormat="false" ht="30" hidden="false" customHeight="true" outlineLevel="0" collapsed="false">
      <c r="A89" s="5" t="s">
        <v>2387</v>
      </c>
      <c r="B89" s="5"/>
      <c r="C89" s="5"/>
      <c r="D89" s="5"/>
    </row>
    <row r="90" customFormat="false" ht="16.5" hidden="false" customHeight="true" outlineLevel="0" collapsed="false">
      <c r="A90" s="5" t="s">
        <v>2388</v>
      </c>
      <c r="B90" s="5"/>
      <c r="C90" s="5"/>
      <c r="D90" s="5"/>
    </row>
    <row r="91" customFormat="false" ht="7.5" hidden="false" customHeight="true" outlineLevel="0" collapsed="false"/>
    <row r="92" customFormat="false" ht="18" hidden="false" customHeight="true" outlineLevel="0" collapsed="false">
      <c r="A92" s="46" t="s">
        <v>2389</v>
      </c>
      <c r="B92" s="46"/>
      <c r="C92" s="46"/>
      <c r="D92" s="46"/>
    </row>
    <row r="93" customFormat="false" ht="16.5" hidden="false" customHeight="true" outlineLevel="0" collapsed="false">
      <c r="A93" s="4" t="s">
        <v>96</v>
      </c>
      <c r="B93" s="4" t="s">
        <v>386</v>
      </c>
      <c r="C93" s="4" t="s">
        <v>2390</v>
      </c>
      <c r="D93" s="4"/>
    </row>
    <row r="94" customFormat="false" ht="16.5" hidden="false" customHeight="true" outlineLevel="0" collapsed="false">
      <c r="A94" s="5" t="s">
        <v>387</v>
      </c>
      <c r="B94" s="5" t="s">
        <v>2391</v>
      </c>
      <c r="C94" s="9" t="s">
        <v>2392</v>
      </c>
      <c r="D94" s="9"/>
    </row>
    <row r="95" customFormat="false" ht="16.5" hidden="false" customHeight="true" outlineLevel="0" collapsed="false">
      <c r="A95" s="5" t="s">
        <v>391</v>
      </c>
      <c r="B95" s="5" t="s">
        <v>2391</v>
      </c>
      <c r="C95" s="9" t="s">
        <v>2393</v>
      </c>
      <c r="D95" s="9"/>
    </row>
    <row r="96" customFormat="false" ht="16.5" hidden="false" customHeight="true" outlineLevel="0" collapsed="false">
      <c r="A96" s="5" t="s">
        <v>394</v>
      </c>
      <c r="B96" s="5" t="s">
        <v>2391</v>
      </c>
      <c r="C96" s="9" t="s">
        <v>2393</v>
      </c>
      <c r="D96" s="9"/>
    </row>
    <row r="97" customFormat="false" ht="30" hidden="false" customHeight="true" outlineLevel="0" collapsed="false">
      <c r="A97" s="5" t="s">
        <v>395</v>
      </c>
      <c r="B97" s="5" t="s">
        <v>2394</v>
      </c>
      <c r="C97" s="9" t="s">
        <v>2395</v>
      </c>
      <c r="D97" s="9"/>
    </row>
    <row r="98" customFormat="false" ht="30" hidden="false" customHeight="true" outlineLevel="0" collapsed="false">
      <c r="A98" s="5" t="s">
        <v>399</v>
      </c>
      <c r="B98" s="5" t="s">
        <v>2391</v>
      </c>
      <c r="C98" s="9" t="s">
        <v>2396</v>
      </c>
      <c r="D98" s="9"/>
    </row>
    <row r="99" customFormat="false" ht="16.5" hidden="false" customHeight="true" outlineLevel="0" collapsed="false">
      <c r="A99" s="5" t="s">
        <v>402</v>
      </c>
      <c r="B99" s="5" t="s">
        <v>2391</v>
      </c>
      <c r="C99" s="9" t="s">
        <v>2397</v>
      </c>
      <c r="D99" s="9"/>
    </row>
    <row r="100" customFormat="false" ht="16.5" hidden="false" customHeight="true" outlineLevel="0" collapsed="false">
      <c r="A100" s="5" t="s">
        <v>404</v>
      </c>
      <c r="B100" s="5" t="s">
        <v>2391</v>
      </c>
      <c r="C100" s="9" t="s">
        <v>2398</v>
      </c>
      <c r="D100" s="9"/>
    </row>
    <row r="101" customFormat="false" ht="30" hidden="false" customHeight="true" outlineLevel="0" collapsed="false">
      <c r="A101" s="5" t="s">
        <v>407</v>
      </c>
      <c r="B101" s="5" t="s">
        <v>2399</v>
      </c>
      <c r="C101" s="9" t="s">
        <v>2400</v>
      </c>
      <c r="D101" s="9"/>
    </row>
    <row r="102" customFormat="false" ht="7.5" hidden="false" customHeight="true" outlineLevel="0" collapsed="false"/>
    <row r="103" customFormat="false" ht="30" hidden="false" customHeight="true" outlineLevel="0" collapsed="false">
      <c r="A103" s="10" t="s">
        <v>2401</v>
      </c>
      <c r="B103" s="10"/>
      <c r="C103" s="10"/>
      <c r="D103" s="10"/>
    </row>
    <row r="104" customFormat="false" ht="7.5" hidden="false" customHeight="true" outlineLevel="0" collapsed="false"/>
    <row r="105" customFormat="false" ht="18" hidden="false" customHeight="true" outlineLevel="0" collapsed="false">
      <c r="A105" s="46" t="s">
        <v>2402</v>
      </c>
      <c r="B105" s="46"/>
      <c r="C105" s="46"/>
      <c r="D105" s="46"/>
    </row>
    <row r="106" customFormat="false" ht="30" hidden="false" customHeight="true" outlineLevel="0" collapsed="false">
      <c r="A106" s="40" t="s">
        <v>2403</v>
      </c>
      <c r="B106" s="40"/>
      <c r="C106" s="40"/>
      <c r="D106" s="40"/>
    </row>
    <row r="107" customFormat="false" ht="7.5" hidden="false" customHeight="true" outlineLevel="0" collapsed="false"/>
    <row r="108" customFormat="false" ht="18" hidden="false" customHeight="true" outlineLevel="0" collapsed="false">
      <c r="A108" s="46" t="s">
        <v>2404</v>
      </c>
      <c r="B108" s="46"/>
      <c r="C108" s="46"/>
      <c r="D108" s="46"/>
    </row>
    <row r="109" customFormat="false" ht="16.5" hidden="false" customHeight="true" outlineLevel="0" collapsed="false">
      <c r="A109" s="4" t="s">
        <v>2405</v>
      </c>
      <c r="B109" s="4" t="s">
        <v>2406</v>
      </c>
      <c r="C109" s="4"/>
      <c r="D109" s="4"/>
    </row>
    <row r="110" customFormat="false" ht="30" hidden="false" customHeight="true" outlineLevel="0" collapsed="false">
      <c r="A110" s="5" t="s">
        <v>2407</v>
      </c>
      <c r="B110" s="5" t="s">
        <v>2408</v>
      </c>
      <c r="C110" s="5"/>
      <c r="D110" s="5"/>
    </row>
    <row r="111" customFormat="false" ht="30" hidden="false" customHeight="true" outlineLevel="0" collapsed="false">
      <c r="A111" s="5" t="s">
        <v>2409</v>
      </c>
      <c r="B111" s="5" t="s">
        <v>2410</v>
      </c>
      <c r="C111" s="5"/>
      <c r="D111" s="5"/>
    </row>
    <row r="112" customFormat="false" ht="30" hidden="false" customHeight="true" outlineLevel="0" collapsed="false">
      <c r="A112" s="5" t="s">
        <v>2411</v>
      </c>
      <c r="B112" s="5" t="s">
        <v>2412</v>
      </c>
      <c r="C112" s="5"/>
      <c r="D112" s="5"/>
    </row>
    <row r="113" customFormat="false" ht="30" hidden="false" customHeight="true" outlineLevel="0" collapsed="false">
      <c r="A113" s="5" t="s">
        <v>2413</v>
      </c>
      <c r="B113" s="5" t="s">
        <v>2414</v>
      </c>
      <c r="C113" s="5"/>
      <c r="D113" s="5"/>
    </row>
    <row r="114" customFormat="false" ht="7.5" hidden="false" customHeight="true" outlineLevel="0" collapsed="false"/>
    <row r="115" customFormat="false" ht="16.5" hidden="false" customHeight="true" outlineLevel="0" collapsed="false">
      <c r="A115" s="10" t="s">
        <v>2415</v>
      </c>
      <c r="B115" s="10"/>
      <c r="C115" s="10"/>
      <c r="D115" s="10"/>
    </row>
    <row r="116" customFormat="false" ht="7.5" hidden="false" customHeight="true" outlineLevel="0" collapsed="false"/>
    <row r="117" customFormat="false" ht="18" hidden="false" customHeight="true" outlineLevel="0" collapsed="false">
      <c r="A117" s="46" t="s">
        <v>2416</v>
      </c>
      <c r="B117" s="46"/>
      <c r="C117" s="46"/>
      <c r="D117" s="46"/>
    </row>
    <row r="118" customFormat="false" ht="16.5" hidden="false" customHeight="true" outlineLevel="0" collapsed="false">
      <c r="A118" s="4" t="s">
        <v>205</v>
      </c>
      <c r="B118" s="4" t="s">
        <v>122</v>
      </c>
      <c r="C118" s="4"/>
      <c r="D118" s="4"/>
    </row>
    <row r="119" customFormat="false" ht="43.5" hidden="false" customHeight="true" outlineLevel="0" collapsed="false">
      <c r="A119" s="5" t="s">
        <v>2417</v>
      </c>
      <c r="B119" s="5" t="s">
        <v>2418</v>
      </c>
      <c r="C119" s="5"/>
      <c r="D119" s="5"/>
    </row>
    <row r="120" customFormat="false" ht="43.5" hidden="false" customHeight="true" outlineLevel="0" collapsed="false">
      <c r="A120" s="5" t="s">
        <v>2419</v>
      </c>
      <c r="B120" s="5" t="s">
        <v>2420</v>
      </c>
      <c r="C120" s="5"/>
      <c r="D120" s="5"/>
    </row>
    <row r="121" customFormat="false" ht="30" hidden="false" customHeight="true" outlineLevel="0" collapsed="false">
      <c r="A121" s="5" t="s">
        <v>2421</v>
      </c>
      <c r="B121" s="5" t="s">
        <v>2422</v>
      </c>
      <c r="C121" s="5"/>
      <c r="D121" s="5"/>
    </row>
    <row r="122" customFormat="false" ht="16.5" hidden="false" customHeight="true" outlineLevel="0" collapsed="false">
      <c r="A122" s="5" t="s">
        <v>2423</v>
      </c>
      <c r="B122" s="5" t="s">
        <v>2424</v>
      </c>
      <c r="C122" s="5"/>
      <c r="D122" s="5"/>
    </row>
    <row r="123" customFormat="false" ht="7.5" hidden="false" customHeight="true" outlineLevel="0" collapsed="false"/>
    <row r="124" customFormat="false" ht="43.5" hidden="false" customHeight="true" outlineLevel="0" collapsed="false">
      <c r="A124" s="6" t="s">
        <v>2425</v>
      </c>
      <c r="B124" s="6"/>
      <c r="C124" s="6"/>
      <c r="D124" s="6"/>
    </row>
    <row r="125" customFormat="false" ht="7.5" hidden="false" customHeight="true" outlineLevel="0" collapsed="false"/>
    <row r="126" customFormat="false" ht="16.5" hidden="false" customHeight="true" outlineLevel="0" collapsed="false">
      <c r="A126" s="7" t="s">
        <v>86</v>
      </c>
      <c r="B126" s="7"/>
      <c r="C126" s="7"/>
      <c r="D126" s="7"/>
    </row>
    <row r="127" customFormat="false" ht="16.5" hidden="false" customHeight="true" outlineLevel="0" collapsed="false">
      <c r="A127" s="8" t="s">
        <v>2426</v>
      </c>
      <c r="B127" s="8"/>
      <c r="C127" s="8"/>
      <c r="D127" s="8"/>
    </row>
    <row r="128" customFormat="false" ht="16.5" hidden="false" customHeight="true" outlineLevel="0" collapsed="false">
      <c r="A128" s="8" t="s">
        <v>2427</v>
      </c>
      <c r="B128" s="8"/>
      <c r="C128" s="8"/>
      <c r="D128" s="8"/>
    </row>
    <row r="129" customFormat="false" ht="16.5" hidden="false" customHeight="true" outlineLevel="0" collapsed="false">
      <c r="A129" s="8" t="s">
        <v>2428</v>
      </c>
      <c r="B129" s="8"/>
      <c r="C129" s="8"/>
      <c r="D129" s="8"/>
    </row>
    <row r="130" customFormat="false" ht="16.5" hidden="false" customHeight="true" outlineLevel="0" collapsed="false">
      <c r="A130" s="8" t="s">
        <v>2429</v>
      </c>
      <c r="B130" s="8"/>
      <c r="C130" s="8"/>
      <c r="D130" s="8"/>
    </row>
    <row r="131" customFormat="false" ht="16.5" hidden="false" customHeight="true" outlineLevel="0" collapsed="false">
      <c r="A131" s="8" t="s">
        <v>2430</v>
      </c>
      <c r="B131" s="8"/>
      <c r="C131" s="8"/>
      <c r="D131" s="8"/>
    </row>
    <row r="132" customFormat="false" ht="7.5" hidden="false" customHeight="true" outlineLevel="0" collapsed="false"/>
  </sheetData>
  <mergeCells count="109">
    <mergeCell ref="A1:D1"/>
    <mergeCell ref="A2:D2"/>
    <mergeCell ref="A4:D4"/>
    <mergeCell ref="A5:D5"/>
    <mergeCell ref="A6:D6"/>
    <mergeCell ref="A7:D7"/>
    <mergeCell ref="A8:D8"/>
    <mergeCell ref="A9:D9"/>
    <mergeCell ref="A11:D11"/>
    <mergeCell ref="A13:D13"/>
    <mergeCell ref="A14:D14"/>
    <mergeCell ref="A15:D15"/>
    <mergeCell ref="A16:D16"/>
    <mergeCell ref="A17:D17"/>
    <mergeCell ref="A18:D18"/>
    <mergeCell ref="A20:D20"/>
    <mergeCell ref="A22:D22"/>
    <mergeCell ref="C23:D23"/>
    <mergeCell ref="C24:D24"/>
    <mergeCell ref="C25:D25"/>
    <mergeCell ref="C26:D26"/>
    <mergeCell ref="C27:D27"/>
    <mergeCell ref="C28:D28"/>
    <mergeCell ref="C29:D29"/>
    <mergeCell ref="A31:D31"/>
    <mergeCell ref="C33:D33"/>
    <mergeCell ref="C34:D34"/>
    <mergeCell ref="C35:D35"/>
    <mergeCell ref="C36:D36"/>
    <mergeCell ref="C37:D37"/>
    <mergeCell ref="C38:D38"/>
    <mergeCell ref="C39:D39"/>
    <mergeCell ref="C40:D40"/>
    <mergeCell ref="C41:D41"/>
    <mergeCell ref="C42:D42"/>
    <mergeCell ref="C44:D44"/>
    <mergeCell ref="C45:D45"/>
    <mergeCell ref="C46:D46"/>
    <mergeCell ref="C47:D47"/>
    <mergeCell ref="C48:D48"/>
    <mergeCell ref="C49:D49"/>
    <mergeCell ref="C50:D50"/>
    <mergeCell ref="C52:D52"/>
    <mergeCell ref="C53:D53"/>
    <mergeCell ref="C54:D54"/>
    <mergeCell ref="C55:D55"/>
    <mergeCell ref="C56:D56"/>
    <mergeCell ref="C57:D57"/>
    <mergeCell ref="C58:D58"/>
    <mergeCell ref="C59:D59"/>
    <mergeCell ref="C60:D60"/>
    <mergeCell ref="C62:D62"/>
    <mergeCell ref="C63:D63"/>
    <mergeCell ref="C64:D64"/>
    <mergeCell ref="C65:D65"/>
    <mergeCell ref="C66:D66"/>
    <mergeCell ref="C67:D67"/>
    <mergeCell ref="C68:D68"/>
    <mergeCell ref="A70:D70"/>
    <mergeCell ref="C72:D72"/>
    <mergeCell ref="C73:D73"/>
    <mergeCell ref="C74:D74"/>
    <mergeCell ref="C75:D75"/>
    <mergeCell ref="C76:D76"/>
    <mergeCell ref="B78:D78"/>
    <mergeCell ref="B79:D79"/>
    <mergeCell ref="B80:D80"/>
    <mergeCell ref="B81:D81"/>
    <mergeCell ref="B82:D82"/>
    <mergeCell ref="B83:D83"/>
    <mergeCell ref="A85:D85"/>
    <mergeCell ref="A86:D86"/>
    <mergeCell ref="A87:D87"/>
    <mergeCell ref="A88:D88"/>
    <mergeCell ref="A89:D89"/>
    <mergeCell ref="A90:D90"/>
    <mergeCell ref="A92:D92"/>
    <mergeCell ref="C93:D93"/>
    <mergeCell ref="C94:D94"/>
    <mergeCell ref="C95:D95"/>
    <mergeCell ref="C96:D96"/>
    <mergeCell ref="C97:D97"/>
    <mergeCell ref="C98:D98"/>
    <mergeCell ref="C99:D99"/>
    <mergeCell ref="C100:D100"/>
    <mergeCell ref="C101:D101"/>
    <mergeCell ref="A103:D103"/>
    <mergeCell ref="A105:D105"/>
    <mergeCell ref="A106:D106"/>
    <mergeCell ref="A108:D108"/>
    <mergeCell ref="B109:D109"/>
    <mergeCell ref="B110:D110"/>
    <mergeCell ref="B111:D111"/>
    <mergeCell ref="B112:D112"/>
    <mergeCell ref="B113:D113"/>
    <mergeCell ref="A115:D115"/>
    <mergeCell ref="A117:D117"/>
    <mergeCell ref="B118:D118"/>
    <mergeCell ref="B119:D119"/>
    <mergeCell ref="B120:D120"/>
    <mergeCell ref="B121:D121"/>
    <mergeCell ref="B122:D122"/>
    <mergeCell ref="A124:D124"/>
    <mergeCell ref="A126:D126"/>
    <mergeCell ref="A127:D127"/>
    <mergeCell ref="A128:D128"/>
    <mergeCell ref="A129:D129"/>
    <mergeCell ref="A130:D130"/>
    <mergeCell ref="A131:D13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95C"/>
    <pageSetUpPr fitToPage="true"/>
  </sheetPr>
  <dimension ref="A1:D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38"/>
  </cols>
  <sheetData>
    <row r="1" customFormat="false" ht="30" hidden="false" customHeight="true" outlineLevel="0" collapsed="false">
      <c r="A1" s="45" t="s">
        <v>2431</v>
      </c>
      <c r="B1" s="45"/>
      <c r="C1" s="45"/>
      <c r="D1" s="45"/>
    </row>
    <row r="2" customFormat="false" ht="47.25" hidden="false" customHeight="true" outlineLevel="0" collapsed="false">
      <c r="A2" s="2" t="s">
        <v>2432</v>
      </c>
      <c r="B2" s="2"/>
      <c r="C2" s="2"/>
      <c r="D2" s="2"/>
    </row>
    <row r="3" customFormat="false" ht="7.5" hidden="false" customHeight="true" outlineLevel="0" collapsed="false"/>
    <row r="4" customFormat="false" ht="18" hidden="false" customHeight="true" outlineLevel="0" collapsed="false">
      <c r="A4" s="46" t="s">
        <v>2433</v>
      </c>
      <c r="B4" s="46"/>
      <c r="C4" s="46"/>
      <c r="D4" s="46"/>
    </row>
    <row r="5" customFormat="false" ht="16.5" hidden="false" customHeight="true" outlineLevel="0" collapsed="false">
      <c r="A5" s="4" t="s">
        <v>1769</v>
      </c>
      <c r="B5" s="4" t="s">
        <v>1576</v>
      </c>
      <c r="C5" s="4"/>
      <c r="D5" s="4"/>
    </row>
    <row r="6" customFormat="false" ht="56.25" hidden="false" customHeight="true" outlineLevel="0" collapsed="false">
      <c r="A6" s="5" t="s">
        <v>2434</v>
      </c>
      <c r="B6" s="5" t="s">
        <v>2435</v>
      </c>
      <c r="C6" s="5"/>
      <c r="D6" s="5"/>
    </row>
    <row r="7" customFormat="false" ht="30" hidden="false" customHeight="true" outlineLevel="0" collapsed="false">
      <c r="A7" s="5" t="s">
        <v>2436</v>
      </c>
      <c r="B7" s="5" t="s">
        <v>2437</v>
      </c>
      <c r="C7" s="5"/>
      <c r="D7" s="5"/>
    </row>
    <row r="8" customFormat="false" ht="16.5" hidden="false" customHeight="true" outlineLevel="0" collapsed="false">
      <c r="A8" s="5" t="s">
        <v>2438</v>
      </c>
      <c r="B8" s="5" t="s">
        <v>2439</v>
      </c>
      <c r="C8" s="5"/>
      <c r="D8" s="5"/>
    </row>
    <row r="9" customFormat="false" ht="30" hidden="false" customHeight="true" outlineLevel="0" collapsed="false">
      <c r="A9" s="5" t="s">
        <v>2440</v>
      </c>
      <c r="B9" s="5" t="s">
        <v>2441</v>
      </c>
      <c r="C9" s="5"/>
      <c r="D9" s="5"/>
    </row>
    <row r="10" customFormat="false" ht="69.75" hidden="false" customHeight="true" outlineLevel="0" collapsed="false">
      <c r="A10" s="5" t="s">
        <v>2442</v>
      </c>
      <c r="B10" s="5" t="s">
        <v>2443</v>
      </c>
      <c r="C10" s="5"/>
      <c r="D10" s="5"/>
    </row>
    <row r="11" customFormat="false" ht="16.5" hidden="false" customHeight="true" outlineLevel="0" collapsed="false">
      <c r="A11" s="5" t="s">
        <v>2444</v>
      </c>
      <c r="B11" s="5" t="s">
        <v>2445</v>
      </c>
      <c r="C11" s="5"/>
      <c r="D11" s="5"/>
    </row>
    <row r="12" customFormat="false" ht="7.5" hidden="false" customHeight="true" outlineLevel="0" collapsed="false"/>
    <row r="13" customFormat="false" ht="18" hidden="false" customHeight="true" outlineLevel="0" collapsed="false">
      <c r="A13" s="46" t="s">
        <v>2446</v>
      </c>
      <c r="B13" s="46"/>
      <c r="C13" s="46"/>
      <c r="D13" s="46"/>
    </row>
    <row r="14" customFormat="false" ht="16.5" hidden="false" customHeight="true" outlineLevel="0" collapsed="false">
      <c r="A14" s="4" t="s">
        <v>1769</v>
      </c>
      <c r="B14" s="4" t="s">
        <v>1576</v>
      </c>
      <c r="C14" s="4"/>
      <c r="D14" s="4"/>
    </row>
    <row r="15" customFormat="false" ht="56.25" hidden="false" customHeight="true" outlineLevel="0" collapsed="false">
      <c r="A15" s="5" t="s">
        <v>2447</v>
      </c>
      <c r="B15" s="5" t="s">
        <v>2448</v>
      </c>
      <c r="C15" s="5"/>
      <c r="D15" s="5"/>
    </row>
    <row r="16" customFormat="false" ht="30" hidden="false" customHeight="true" outlineLevel="0" collapsed="false">
      <c r="A16" s="5" t="s">
        <v>2449</v>
      </c>
      <c r="B16" s="5" t="s">
        <v>2450</v>
      </c>
      <c r="C16" s="5"/>
      <c r="D16" s="5"/>
    </row>
    <row r="17" customFormat="false" ht="43.5" hidden="false" customHeight="true" outlineLevel="0" collapsed="false">
      <c r="A17" s="5" t="s">
        <v>2451</v>
      </c>
      <c r="B17" s="5" t="s">
        <v>2452</v>
      </c>
      <c r="C17" s="5"/>
      <c r="D17" s="5"/>
    </row>
    <row r="18" customFormat="false" ht="7.5" hidden="false" customHeight="true" outlineLevel="0" collapsed="false"/>
    <row r="19" customFormat="false" ht="30" hidden="false" customHeight="true" outlineLevel="0" collapsed="false">
      <c r="A19" s="10" t="s">
        <v>2453</v>
      </c>
      <c r="B19" s="10"/>
      <c r="C19" s="10"/>
      <c r="D19" s="10"/>
    </row>
    <row r="20" customFormat="false" ht="7.5" hidden="false" customHeight="true" outlineLevel="0" collapsed="false"/>
    <row r="21" customFormat="false" ht="18" hidden="false" customHeight="true" outlineLevel="0" collapsed="false">
      <c r="A21" s="46" t="s">
        <v>2454</v>
      </c>
      <c r="B21" s="46"/>
      <c r="C21" s="46"/>
      <c r="D21" s="46"/>
    </row>
    <row r="22" customFormat="false" ht="16.5" hidden="false" customHeight="true" outlineLevel="0" collapsed="false">
      <c r="A22" s="4" t="s">
        <v>2455</v>
      </c>
      <c r="B22" s="4" t="s">
        <v>1576</v>
      </c>
      <c r="C22" s="4"/>
      <c r="D22" s="4"/>
    </row>
    <row r="23" customFormat="false" ht="16.5" hidden="false" customHeight="true" outlineLevel="0" collapsed="false">
      <c r="A23" s="5" t="s">
        <v>2456</v>
      </c>
      <c r="B23" s="9" t="s">
        <v>2457</v>
      </c>
      <c r="C23" s="9"/>
      <c r="D23" s="9"/>
    </row>
    <row r="24" customFormat="false" ht="30" hidden="false" customHeight="true" outlineLevel="0" collapsed="false">
      <c r="A24" s="5" t="s">
        <v>2458</v>
      </c>
      <c r="B24" s="9" t="s">
        <v>2459</v>
      </c>
      <c r="C24" s="9"/>
      <c r="D24" s="9"/>
    </row>
    <row r="25" customFormat="false" ht="30" hidden="false" customHeight="true" outlineLevel="0" collapsed="false">
      <c r="A25" s="5" t="s">
        <v>2460</v>
      </c>
      <c r="B25" s="9" t="s">
        <v>2461</v>
      </c>
      <c r="C25" s="9"/>
      <c r="D25" s="9"/>
    </row>
    <row r="26" customFormat="false" ht="43.5" hidden="false" customHeight="true" outlineLevel="0" collapsed="false">
      <c r="A26" s="5" t="s">
        <v>2462</v>
      </c>
      <c r="B26" s="9"/>
      <c r="C26" s="9"/>
      <c r="D26" s="9"/>
    </row>
    <row r="27" customFormat="false" ht="43.5" hidden="false" customHeight="true" outlineLevel="0" collapsed="false">
      <c r="A27" s="5" t="s">
        <v>2463</v>
      </c>
      <c r="B27" s="9"/>
      <c r="C27" s="9"/>
      <c r="D27" s="9"/>
    </row>
    <row r="28" customFormat="false" ht="7.5" hidden="false" customHeight="true" outlineLevel="0" collapsed="false"/>
    <row r="29" customFormat="false" ht="30" hidden="false" customHeight="true" outlineLevel="0" collapsed="false">
      <c r="A29" s="4" t="s">
        <v>2464</v>
      </c>
      <c r="B29" s="4"/>
      <c r="C29" s="4"/>
      <c r="D29" s="4"/>
    </row>
    <row r="30" customFormat="false" ht="280.5" hidden="false" customHeight="true" outlineLevel="0" collapsed="false">
      <c r="A30" s="5" t="s">
        <v>2465</v>
      </c>
      <c r="B30" s="5"/>
      <c r="C30" s="5"/>
      <c r="D30" s="5"/>
    </row>
    <row r="31" customFormat="false" ht="7.5" hidden="false" customHeight="true" outlineLevel="0" collapsed="false"/>
    <row r="32" customFormat="false" ht="16.5" hidden="false" customHeight="true" outlineLevel="0" collapsed="false">
      <c r="A32" s="35" t="s">
        <v>2466</v>
      </c>
      <c r="B32" s="35"/>
      <c r="C32" s="35"/>
      <c r="D32" s="35"/>
    </row>
    <row r="33" customFormat="false" ht="7.5" hidden="false" customHeight="true" outlineLevel="0" collapsed="false"/>
    <row r="34" customFormat="false" ht="18" hidden="false" customHeight="true" outlineLevel="0" collapsed="false">
      <c r="A34" s="46" t="s">
        <v>2467</v>
      </c>
      <c r="B34" s="46"/>
      <c r="C34" s="46"/>
      <c r="D34" s="46"/>
    </row>
    <row r="35" customFormat="false" ht="16.5" hidden="false" customHeight="true" outlineLevel="0" collapsed="false">
      <c r="A35" s="4" t="s">
        <v>2468</v>
      </c>
      <c r="B35" s="4" t="s">
        <v>1095</v>
      </c>
      <c r="C35" s="4"/>
      <c r="D35" s="4"/>
    </row>
    <row r="36" customFormat="false" ht="30" hidden="false" customHeight="true" outlineLevel="0" collapsed="false">
      <c r="A36" s="5" t="s">
        <v>2469</v>
      </c>
      <c r="B36" s="5" t="s">
        <v>2470</v>
      </c>
      <c r="C36" s="5"/>
      <c r="D36" s="5"/>
    </row>
    <row r="37" customFormat="false" ht="43.5" hidden="false" customHeight="true" outlineLevel="0" collapsed="false">
      <c r="A37" s="5" t="s">
        <v>2471</v>
      </c>
      <c r="B37" s="5" t="s">
        <v>2472</v>
      </c>
      <c r="C37" s="5"/>
      <c r="D37" s="5"/>
    </row>
    <row r="38" customFormat="false" ht="7.5" hidden="false" customHeight="true" outlineLevel="0" collapsed="false"/>
    <row r="39" customFormat="false" ht="30" hidden="false" customHeight="true" outlineLevel="0" collapsed="false">
      <c r="A39" s="6" t="s">
        <v>2473</v>
      </c>
      <c r="B39" s="6"/>
      <c r="C39" s="6"/>
      <c r="D39" s="6"/>
    </row>
    <row r="40" customFormat="false" ht="7.5" hidden="false" customHeight="true" outlineLevel="0" collapsed="false"/>
    <row r="41" customFormat="false" ht="30" hidden="false" customHeight="true" outlineLevel="0" collapsed="false">
      <c r="A41" s="10" t="s">
        <v>2474</v>
      </c>
      <c r="B41" s="10"/>
      <c r="C41" s="10"/>
      <c r="D41" s="10"/>
    </row>
    <row r="42" customFormat="false" ht="7.5" hidden="false" customHeight="true" outlineLevel="0" collapsed="false"/>
    <row r="43" customFormat="false" ht="18" hidden="false" customHeight="true" outlineLevel="0" collapsed="false">
      <c r="A43" s="46" t="s">
        <v>2475</v>
      </c>
      <c r="B43" s="46"/>
      <c r="C43" s="46"/>
      <c r="D43" s="46"/>
    </row>
    <row r="44" customFormat="false" ht="30" hidden="false" customHeight="true" outlineLevel="0" collapsed="false">
      <c r="A44" s="40" t="s">
        <v>2476</v>
      </c>
      <c r="B44" s="40"/>
      <c r="C44" s="40"/>
      <c r="D44" s="40"/>
    </row>
    <row r="45" customFormat="false" ht="7.5" hidden="false" customHeight="true" outlineLevel="0" collapsed="false"/>
    <row r="46" customFormat="false" ht="18" hidden="false" customHeight="true" outlineLevel="0" collapsed="false">
      <c r="A46" s="46" t="s">
        <v>2477</v>
      </c>
      <c r="B46" s="46"/>
      <c r="C46" s="46"/>
      <c r="D46" s="46"/>
    </row>
    <row r="47" customFormat="false" ht="16.5" hidden="false" customHeight="true" outlineLevel="0" collapsed="false">
      <c r="A47" s="4" t="s">
        <v>205</v>
      </c>
      <c r="B47" s="4" t="s">
        <v>1576</v>
      </c>
      <c r="C47" s="4"/>
      <c r="D47" s="4"/>
    </row>
    <row r="48" customFormat="false" ht="30" hidden="false" customHeight="true" outlineLevel="0" collapsed="false">
      <c r="A48" s="5" t="s">
        <v>2478</v>
      </c>
      <c r="B48" s="5" t="s">
        <v>2479</v>
      </c>
      <c r="C48" s="5"/>
      <c r="D48" s="5"/>
    </row>
    <row r="49" customFormat="false" ht="30" hidden="false" customHeight="true" outlineLevel="0" collapsed="false">
      <c r="A49" s="5" t="s">
        <v>2480</v>
      </c>
      <c r="B49" s="5" t="s">
        <v>2481</v>
      </c>
      <c r="C49" s="5"/>
      <c r="D49" s="5"/>
    </row>
    <row r="50" customFormat="false" ht="56.25" hidden="false" customHeight="true" outlineLevel="0" collapsed="false">
      <c r="A50" s="5" t="s">
        <v>2482</v>
      </c>
      <c r="B50" s="5" t="s">
        <v>2483</v>
      </c>
      <c r="C50" s="5"/>
      <c r="D50" s="5"/>
    </row>
    <row r="51" customFormat="false" ht="30" hidden="false" customHeight="true" outlineLevel="0" collapsed="false">
      <c r="A51" s="5" t="s">
        <v>2484</v>
      </c>
      <c r="B51" s="5" t="s">
        <v>2485</v>
      </c>
      <c r="C51" s="5"/>
      <c r="D51" s="5"/>
    </row>
    <row r="52" customFormat="false" ht="7.5" hidden="false" customHeight="true" outlineLevel="0" collapsed="false"/>
    <row r="53" customFormat="false" ht="18" hidden="false" customHeight="true" outlineLevel="0" collapsed="false">
      <c r="A53" s="46" t="s">
        <v>2486</v>
      </c>
      <c r="B53" s="46"/>
      <c r="C53" s="46"/>
      <c r="D53" s="46"/>
    </row>
    <row r="54" customFormat="false" ht="16.5" hidden="false" customHeight="true" outlineLevel="0" collapsed="false">
      <c r="A54" s="4" t="s">
        <v>205</v>
      </c>
      <c r="B54" s="4" t="s">
        <v>1576</v>
      </c>
      <c r="C54" s="4"/>
      <c r="D54" s="4"/>
    </row>
    <row r="55" customFormat="false" ht="96" hidden="false" customHeight="true" outlineLevel="0" collapsed="false">
      <c r="A55" s="5" t="s">
        <v>2487</v>
      </c>
      <c r="B55" s="5" t="s">
        <v>2488</v>
      </c>
      <c r="C55" s="5"/>
      <c r="D55" s="5"/>
    </row>
    <row r="56" customFormat="false" ht="43.5" hidden="false" customHeight="true" outlineLevel="0" collapsed="false">
      <c r="A56" s="5" t="s">
        <v>2482</v>
      </c>
      <c r="B56" s="5" t="s">
        <v>2489</v>
      </c>
      <c r="C56" s="5"/>
      <c r="D56" s="5"/>
    </row>
    <row r="57" customFormat="false" ht="30" hidden="false" customHeight="true" outlineLevel="0" collapsed="false">
      <c r="A57" s="5" t="s">
        <v>2484</v>
      </c>
      <c r="B57" s="5" t="s">
        <v>2490</v>
      </c>
      <c r="C57" s="5"/>
      <c r="D57" s="5"/>
    </row>
    <row r="58" customFormat="false" ht="7.5" hidden="false" customHeight="true" outlineLevel="0" collapsed="false"/>
    <row r="59" customFormat="false" ht="16.5" hidden="false" customHeight="true" outlineLevel="0" collapsed="false">
      <c r="A59" s="7" t="s">
        <v>86</v>
      </c>
      <c r="B59" s="7"/>
      <c r="C59" s="7"/>
      <c r="D59" s="7"/>
    </row>
    <row r="60" customFormat="false" ht="16.5" hidden="false" customHeight="true" outlineLevel="0" collapsed="false">
      <c r="A60" s="8" t="s">
        <v>2491</v>
      </c>
      <c r="B60" s="8"/>
      <c r="C60" s="8"/>
      <c r="D60" s="8"/>
    </row>
    <row r="61" customFormat="false" ht="16.5" hidden="false" customHeight="true" outlineLevel="0" collapsed="false">
      <c r="A61" s="8" t="s">
        <v>2492</v>
      </c>
      <c r="B61" s="8"/>
      <c r="C61" s="8"/>
      <c r="D61" s="8"/>
    </row>
    <row r="62" customFormat="false" ht="16.5" hidden="false" customHeight="true" outlineLevel="0" collapsed="false">
      <c r="A62" s="8" t="s">
        <v>2493</v>
      </c>
      <c r="B62" s="8"/>
      <c r="C62" s="8"/>
      <c r="D62" s="8"/>
    </row>
    <row r="63" customFormat="false" ht="16.5" hidden="false" customHeight="true" outlineLevel="0" collapsed="false">
      <c r="A63" s="8" t="s">
        <v>2494</v>
      </c>
      <c r="B63" s="8"/>
      <c r="C63" s="8"/>
      <c r="D63" s="8"/>
    </row>
    <row r="64" customFormat="false" ht="16.5" hidden="false" customHeight="true" outlineLevel="0" collapsed="false">
      <c r="A64" s="8" t="s">
        <v>2495</v>
      </c>
      <c r="B64" s="8"/>
      <c r="C64" s="8"/>
      <c r="D64" s="8"/>
    </row>
    <row r="65" customFormat="false" ht="7.5" hidden="false" customHeight="true" outlineLevel="0" collapsed="false"/>
  </sheetData>
  <mergeCells count="51">
    <mergeCell ref="A1:D1"/>
    <mergeCell ref="A2:D2"/>
    <mergeCell ref="A4:D4"/>
    <mergeCell ref="B5:D5"/>
    <mergeCell ref="B6:D6"/>
    <mergeCell ref="B7:D7"/>
    <mergeCell ref="B8:D8"/>
    <mergeCell ref="B9:D9"/>
    <mergeCell ref="B10:D10"/>
    <mergeCell ref="B11:D11"/>
    <mergeCell ref="A13:D13"/>
    <mergeCell ref="B14:D14"/>
    <mergeCell ref="B15:D15"/>
    <mergeCell ref="B16:D16"/>
    <mergeCell ref="B17:D17"/>
    <mergeCell ref="A19:D19"/>
    <mergeCell ref="A21:D21"/>
    <mergeCell ref="B22:D22"/>
    <mergeCell ref="B23:D23"/>
    <mergeCell ref="B24:D24"/>
    <mergeCell ref="B25:D25"/>
    <mergeCell ref="B26:D26"/>
    <mergeCell ref="B27:D27"/>
    <mergeCell ref="B29:D29"/>
    <mergeCell ref="B30:D30"/>
    <mergeCell ref="A32:D32"/>
    <mergeCell ref="A34:D34"/>
    <mergeCell ref="B35:D35"/>
    <mergeCell ref="B36:D36"/>
    <mergeCell ref="B37:D37"/>
    <mergeCell ref="A39:D39"/>
    <mergeCell ref="A41:D41"/>
    <mergeCell ref="A43:D43"/>
    <mergeCell ref="A44:D44"/>
    <mergeCell ref="A46:D46"/>
    <mergeCell ref="B47:D47"/>
    <mergeCell ref="B48:D48"/>
    <mergeCell ref="B49:D49"/>
    <mergeCell ref="B50:D50"/>
    <mergeCell ref="B51:D51"/>
    <mergeCell ref="A53:D53"/>
    <mergeCell ref="B54:D54"/>
    <mergeCell ref="B55:D55"/>
    <mergeCell ref="B56:D56"/>
    <mergeCell ref="B57:D57"/>
    <mergeCell ref="A59:D59"/>
    <mergeCell ref="A60:D60"/>
    <mergeCell ref="A61:D61"/>
    <mergeCell ref="A62:D62"/>
    <mergeCell ref="A63:D63"/>
    <mergeCell ref="A64:D6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95C"/>
    <pageSetUpPr fitToPage="true"/>
  </sheetPr>
  <dimension ref="A1:D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38"/>
  </cols>
  <sheetData>
    <row r="1" customFormat="false" ht="30" hidden="false" customHeight="true" outlineLevel="0" collapsed="false">
      <c r="A1" s="45" t="s">
        <v>2496</v>
      </c>
      <c r="B1" s="45"/>
      <c r="C1" s="45"/>
      <c r="D1" s="45"/>
    </row>
    <row r="2" customFormat="false" ht="47.25" hidden="false" customHeight="true" outlineLevel="0" collapsed="false">
      <c r="A2" s="2" t="s">
        <v>2497</v>
      </c>
      <c r="B2" s="2"/>
      <c r="C2" s="2"/>
      <c r="D2" s="2"/>
    </row>
    <row r="3" customFormat="false" ht="7.5" hidden="false" customHeight="true" outlineLevel="0" collapsed="false"/>
    <row r="4" customFormat="false" ht="18" hidden="false" customHeight="true" outlineLevel="0" collapsed="false">
      <c r="A4" s="46" t="s">
        <v>2498</v>
      </c>
      <c r="B4" s="46"/>
      <c r="C4" s="46"/>
      <c r="D4" s="46"/>
    </row>
    <row r="5" customFormat="false" ht="30" hidden="false" customHeight="true" outlineLevel="0" collapsed="false">
      <c r="A5" s="40" t="s">
        <v>2499</v>
      </c>
      <c r="B5" s="40"/>
      <c r="C5" s="40"/>
      <c r="D5" s="40"/>
    </row>
    <row r="6" customFormat="false" ht="7.5" hidden="false" customHeight="true" outlineLevel="0" collapsed="false"/>
    <row r="7" customFormat="false" ht="18" hidden="false" customHeight="true" outlineLevel="0" collapsed="false">
      <c r="A7" s="46" t="s">
        <v>2500</v>
      </c>
      <c r="B7" s="46"/>
      <c r="C7" s="46"/>
      <c r="D7" s="46"/>
    </row>
    <row r="8" customFormat="false" ht="16.5" hidden="false" customHeight="true" outlineLevel="0" collapsed="false">
      <c r="A8" s="4" t="s">
        <v>2501</v>
      </c>
      <c r="B8" s="4" t="s">
        <v>1296</v>
      </c>
      <c r="C8" s="4" t="s">
        <v>2502</v>
      </c>
      <c r="D8" s="4"/>
    </row>
    <row r="9" customFormat="false" ht="43.5" hidden="false" customHeight="true" outlineLevel="0" collapsed="false">
      <c r="A9" s="5" t="s">
        <v>2503</v>
      </c>
      <c r="B9" s="5" t="s">
        <v>2504</v>
      </c>
      <c r="C9" s="5" t="s">
        <v>2505</v>
      </c>
      <c r="D9" s="5"/>
    </row>
    <row r="10" customFormat="false" ht="56.25" hidden="false" customHeight="true" outlineLevel="0" collapsed="false">
      <c r="A10" s="5" t="s">
        <v>2506</v>
      </c>
      <c r="B10" s="5" t="s">
        <v>2507</v>
      </c>
      <c r="C10" s="5" t="s">
        <v>2508</v>
      </c>
      <c r="D10" s="5"/>
    </row>
    <row r="11" customFormat="false" ht="43.5" hidden="false" customHeight="true" outlineLevel="0" collapsed="false">
      <c r="A11" s="5" t="s">
        <v>2509</v>
      </c>
      <c r="B11" s="5" t="s">
        <v>2510</v>
      </c>
      <c r="C11" s="5" t="s">
        <v>2505</v>
      </c>
      <c r="D11" s="5"/>
    </row>
    <row r="12" customFormat="false" ht="7.5" hidden="false" customHeight="true" outlineLevel="0" collapsed="false"/>
    <row r="13" customFormat="false" ht="16.5" hidden="false" customHeight="true" outlineLevel="0" collapsed="false">
      <c r="A13" s="4" t="s">
        <v>1713</v>
      </c>
      <c r="B13" s="4" t="s">
        <v>2511</v>
      </c>
      <c r="C13" s="4"/>
      <c r="D13" s="4"/>
    </row>
    <row r="14" customFormat="false" ht="30" hidden="false" customHeight="true" outlineLevel="0" collapsed="false">
      <c r="A14" s="5" t="s">
        <v>2512</v>
      </c>
      <c r="B14" s="5" t="s">
        <v>2513</v>
      </c>
      <c r="C14" s="5"/>
      <c r="D14" s="5"/>
    </row>
    <row r="15" customFormat="false" ht="30" hidden="false" customHeight="true" outlineLevel="0" collapsed="false">
      <c r="A15" s="5" t="s">
        <v>2514</v>
      </c>
      <c r="B15" s="5" t="s">
        <v>2515</v>
      </c>
      <c r="C15" s="5"/>
      <c r="D15" s="5"/>
    </row>
    <row r="16" customFormat="false" ht="7.5" hidden="false" customHeight="true" outlineLevel="0" collapsed="false"/>
    <row r="17" customFormat="false" ht="16.5" hidden="false" customHeight="true" outlineLevel="0" collapsed="false">
      <c r="A17" s="35" t="s">
        <v>2516</v>
      </c>
      <c r="B17" s="35"/>
      <c r="C17" s="35"/>
      <c r="D17" s="35"/>
    </row>
    <row r="18" customFormat="false" ht="7.5" hidden="false" customHeight="true" outlineLevel="0" collapsed="false"/>
    <row r="19" customFormat="false" ht="18" hidden="false" customHeight="true" outlineLevel="0" collapsed="false">
      <c r="A19" s="46" t="s">
        <v>2517</v>
      </c>
      <c r="B19" s="46"/>
      <c r="C19" s="46"/>
      <c r="D19" s="46"/>
    </row>
    <row r="20" customFormat="false" ht="16.5" hidden="false" customHeight="true" outlineLevel="0" collapsed="false">
      <c r="A20" s="4" t="s">
        <v>2518</v>
      </c>
      <c r="B20" s="4" t="s">
        <v>2519</v>
      </c>
      <c r="C20" s="4" t="s">
        <v>2520</v>
      </c>
      <c r="D20" s="4"/>
    </row>
    <row r="21" customFormat="false" ht="30" hidden="false" customHeight="true" outlineLevel="0" collapsed="false">
      <c r="A21" s="5" t="s">
        <v>2521</v>
      </c>
      <c r="B21" s="5" t="s">
        <v>2522</v>
      </c>
      <c r="C21" s="9" t="s">
        <v>2523</v>
      </c>
      <c r="D21" s="9"/>
    </row>
    <row r="22" customFormat="false" ht="16.5" hidden="false" customHeight="true" outlineLevel="0" collapsed="false">
      <c r="A22" s="5" t="s">
        <v>2524</v>
      </c>
      <c r="B22" s="5" t="s">
        <v>2525</v>
      </c>
      <c r="C22" s="9" t="s">
        <v>2526</v>
      </c>
      <c r="D22" s="9"/>
    </row>
    <row r="23" customFormat="false" ht="7.5" hidden="false" customHeight="true" outlineLevel="0" collapsed="false"/>
    <row r="24" customFormat="false" ht="16.5" hidden="false" customHeight="true" outlineLevel="0" collapsed="false">
      <c r="A24" s="10" t="s">
        <v>2527</v>
      </c>
      <c r="B24" s="10"/>
      <c r="C24" s="10"/>
      <c r="D24" s="10"/>
    </row>
    <row r="25" customFormat="false" ht="7.5" hidden="false" customHeight="true" outlineLevel="0" collapsed="false"/>
    <row r="26" customFormat="false" ht="18" hidden="false" customHeight="true" outlineLevel="0" collapsed="false">
      <c r="A26" s="46" t="s">
        <v>2528</v>
      </c>
      <c r="B26" s="46"/>
      <c r="C26" s="46"/>
      <c r="D26" s="46"/>
    </row>
    <row r="27" customFormat="false" ht="16.5" hidden="false" customHeight="true" outlineLevel="0" collapsed="false">
      <c r="A27" s="4" t="s">
        <v>1962</v>
      </c>
      <c r="B27" s="4" t="s">
        <v>166</v>
      </c>
      <c r="C27" s="4" t="s">
        <v>1431</v>
      </c>
      <c r="D27" s="4"/>
    </row>
    <row r="28" customFormat="false" ht="30" hidden="false" customHeight="true" outlineLevel="0" collapsed="false">
      <c r="A28" s="5" t="s">
        <v>2529</v>
      </c>
      <c r="B28" s="9" t="s">
        <v>2530</v>
      </c>
      <c r="C28" s="5"/>
      <c r="D28" s="5"/>
    </row>
    <row r="29" customFormat="false" ht="16.5" hidden="false" customHeight="true" outlineLevel="0" collapsed="false">
      <c r="A29" s="5" t="s">
        <v>2531</v>
      </c>
      <c r="B29" s="9" t="s">
        <v>418</v>
      </c>
      <c r="C29" s="5" t="s">
        <v>2532</v>
      </c>
      <c r="D29" s="5"/>
    </row>
    <row r="30" customFormat="false" ht="16.5" hidden="false" customHeight="true" outlineLevel="0" collapsed="false">
      <c r="A30" s="5" t="s">
        <v>1596</v>
      </c>
      <c r="B30" s="9" t="s">
        <v>1989</v>
      </c>
      <c r="C30" s="5" t="s">
        <v>2533</v>
      </c>
      <c r="D30" s="5"/>
    </row>
    <row r="31" customFormat="false" ht="16.5" hidden="false" customHeight="true" outlineLevel="0" collapsed="false">
      <c r="A31" s="5" t="s">
        <v>2534</v>
      </c>
      <c r="B31" s="9" t="s">
        <v>1989</v>
      </c>
      <c r="C31" s="5" t="s">
        <v>2533</v>
      </c>
      <c r="D31" s="5"/>
    </row>
    <row r="32" customFormat="false" ht="16.5" hidden="false" customHeight="true" outlineLevel="0" collapsed="false">
      <c r="A32" s="5" t="s">
        <v>2535</v>
      </c>
      <c r="B32" s="9" t="s">
        <v>418</v>
      </c>
      <c r="C32" s="5" t="s">
        <v>2532</v>
      </c>
      <c r="D32" s="5"/>
    </row>
    <row r="33" customFormat="false" ht="16.5" hidden="false" customHeight="true" outlineLevel="0" collapsed="false">
      <c r="A33" s="5" t="s">
        <v>2536</v>
      </c>
      <c r="B33" s="9" t="s">
        <v>1989</v>
      </c>
      <c r="C33" s="5" t="s">
        <v>2533</v>
      </c>
      <c r="D33" s="5"/>
    </row>
    <row r="34" customFormat="false" ht="30" hidden="false" customHeight="true" outlineLevel="0" collapsed="false">
      <c r="A34" s="5" t="s">
        <v>2537</v>
      </c>
      <c r="B34" s="9" t="s">
        <v>418</v>
      </c>
      <c r="C34" s="5" t="s">
        <v>2532</v>
      </c>
      <c r="D34" s="5"/>
    </row>
    <row r="35" customFormat="false" ht="30" hidden="false" customHeight="true" outlineLevel="0" collapsed="false">
      <c r="A35" s="5" t="s">
        <v>2538</v>
      </c>
      <c r="B35" s="9" t="s">
        <v>418</v>
      </c>
      <c r="C35" s="5" t="s">
        <v>2532</v>
      </c>
      <c r="D35" s="5"/>
    </row>
    <row r="36" customFormat="false" ht="69.75" hidden="false" customHeight="true" outlineLevel="0" collapsed="false">
      <c r="A36" s="5" t="s">
        <v>578</v>
      </c>
      <c r="B36" s="9" t="s">
        <v>2539</v>
      </c>
      <c r="C36" s="5"/>
      <c r="D36" s="5"/>
    </row>
    <row r="37" customFormat="false" ht="7.5" hidden="false" customHeight="true" outlineLevel="0" collapsed="false"/>
    <row r="38" customFormat="false" ht="30" hidden="false" customHeight="true" outlineLevel="0" collapsed="false">
      <c r="A38" s="10" t="s">
        <v>2540</v>
      </c>
      <c r="B38" s="10"/>
      <c r="C38" s="10"/>
      <c r="D38" s="10"/>
    </row>
    <row r="39" customFormat="false" ht="7.5" hidden="false" customHeight="true" outlineLevel="0" collapsed="false"/>
    <row r="40" customFormat="false" ht="18" hidden="false" customHeight="true" outlineLevel="0" collapsed="false">
      <c r="A40" s="46" t="s">
        <v>2541</v>
      </c>
      <c r="B40" s="46"/>
      <c r="C40" s="46"/>
      <c r="D40" s="46"/>
    </row>
    <row r="41" customFormat="false" ht="16.5" hidden="false" customHeight="true" outlineLevel="0" collapsed="false">
      <c r="A41" s="4" t="s">
        <v>2542</v>
      </c>
      <c r="B41" s="4" t="s">
        <v>1576</v>
      </c>
      <c r="C41" s="4"/>
      <c r="D41" s="4"/>
    </row>
    <row r="42" customFormat="false" ht="30" hidden="false" customHeight="true" outlineLevel="0" collapsed="false">
      <c r="A42" s="5" t="s">
        <v>2543</v>
      </c>
      <c r="B42" s="5" t="s">
        <v>2544</v>
      </c>
      <c r="C42" s="5"/>
      <c r="D42" s="5"/>
    </row>
    <row r="43" customFormat="false" ht="56.25" hidden="false" customHeight="true" outlineLevel="0" collapsed="false">
      <c r="A43" s="5" t="s">
        <v>2545</v>
      </c>
      <c r="B43" s="5" t="s">
        <v>2546</v>
      </c>
      <c r="C43" s="5"/>
      <c r="D43" s="5"/>
    </row>
    <row r="44" customFormat="false" ht="7.5" hidden="false" customHeight="true" outlineLevel="0" collapsed="false"/>
    <row r="45" customFormat="false" ht="16.5" hidden="false" customHeight="true" outlineLevel="0" collapsed="false">
      <c r="A45" s="7" t="s">
        <v>86</v>
      </c>
      <c r="B45" s="7"/>
      <c r="C45" s="7"/>
      <c r="D45" s="7"/>
    </row>
    <row r="46" customFormat="false" ht="16.5" hidden="false" customHeight="true" outlineLevel="0" collapsed="false">
      <c r="A46" s="8" t="s">
        <v>2547</v>
      </c>
      <c r="B46" s="8"/>
      <c r="C46" s="8"/>
      <c r="D46" s="8"/>
    </row>
    <row r="47" customFormat="false" ht="16.5" hidden="false" customHeight="true" outlineLevel="0" collapsed="false">
      <c r="A47" s="8" t="s">
        <v>2548</v>
      </c>
      <c r="B47" s="8"/>
      <c r="C47" s="8"/>
      <c r="D47" s="8"/>
    </row>
    <row r="48" customFormat="false" ht="16.5" hidden="false" customHeight="true" outlineLevel="0" collapsed="false">
      <c r="A48" s="8" t="s">
        <v>2549</v>
      </c>
      <c r="B48" s="8"/>
      <c r="C48" s="8"/>
      <c r="D48" s="8"/>
    </row>
    <row r="49" customFormat="false" ht="16.5" hidden="false" customHeight="true" outlineLevel="0" collapsed="false">
      <c r="A49" s="8" t="s">
        <v>2550</v>
      </c>
      <c r="B49" s="8"/>
      <c r="C49" s="8"/>
      <c r="D49" s="8"/>
    </row>
    <row r="50" customFormat="false" ht="16.5" hidden="false" customHeight="true" outlineLevel="0" collapsed="false">
      <c r="A50" s="8" t="s">
        <v>2551</v>
      </c>
      <c r="B50" s="8"/>
      <c r="C50" s="8"/>
      <c r="D50" s="8"/>
    </row>
    <row r="51" customFormat="false" ht="7.5" hidden="false" customHeight="true" outlineLevel="0" collapsed="false"/>
  </sheetData>
  <mergeCells count="40">
    <mergeCell ref="A1:D1"/>
    <mergeCell ref="A2:D2"/>
    <mergeCell ref="A4:D4"/>
    <mergeCell ref="A5:D5"/>
    <mergeCell ref="A7:D7"/>
    <mergeCell ref="C8:D8"/>
    <mergeCell ref="C9:D9"/>
    <mergeCell ref="C10:D10"/>
    <mergeCell ref="C11:D11"/>
    <mergeCell ref="B13:D13"/>
    <mergeCell ref="B14:D14"/>
    <mergeCell ref="B15:D15"/>
    <mergeCell ref="A17:D17"/>
    <mergeCell ref="A19:D19"/>
    <mergeCell ref="C20:D20"/>
    <mergeCell ref="C21:D21"/>
    <mergeCell ref="C22:D22"/>
    <mergeCell ref="A24:D24"/>
    <mergeCell ref="A26:D26"/>
    <mergeCell ref="C27:D27"/>
    <mergeCell ref="C28:D28"/>
    <mergeCell ref="C29:D29"/>
    <mergeCell ref="C30:D30"/>
    <mergeCell ref="C31:D31"/>
    <mergeCell ref="C32:D32"/>
    <mergeCell ref="C33:D33"/>
    <mergeCell ref="C34:D34"/>
    <mergeCell ref="C35:D35"/>
    <mergeCell ref="C36:D36"/>
    <mergeCell ref="A38:D38"/>
    <mergeCell ref="A40:D40"/>
    <mergeCell ref="B41:D41"/>
    <mergeCell ref="B42:D42"/>
    <mergeCell ref="B43:D43"/>
    <mergeCell ref="A45:D45"/>
    <mergeCell ref="A46:D46"/>
    <mergeCell ref="A47:D47"/>
    <mergeCell ref="A48:D48"/>
    <mergeCell ref="A49:D49"/>
    <mergeCell ref="A50:D5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B3F00"/>
    <pageSetUpPr fitToPage="true"/>
  </sheetPr>
  <dimension ref="A1:D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38"/>
  </cols>
  <sheetData>
    <row r="1" customFormat="false" ht="30" hidden="false" customHeight="true" outlineLevel="0" collapsed="false">
      <c r="A1" s="47" t="s">
        <v>2552</v>
      </c>
      <c r="B1" s="47"/>
      <c r="C1" s="47"/>
      <c r="D1" s="47"/>
    </row>
    <row r="2" customFormat="false" ht="47.25" hidden="false" customHeight="true" outlineLevel="0" collapsed="false">
      <c r="A2" s="2" t="s">
        <v>2553</v>
      </c>
      <c r="B2" s="2"/>
      <c r="C2" s="2"/>
      <c r="D2" s="2"/>
    </row>
    <row r="3" customFormat="false" ht="7.5" hidden="false" customHeight="true" outlineLevel="0" collapsed="false"/>
    <row r="4" customFormat="false" ht="18" hidden="false" customHeight="true" outlineLevel="0" collapsed="false">
      <c r="A4" s="48" t="s">
        <v>2554</v>
      </c>
      <c r="B4" s="48"/>
      <c r="C4" s="48"/>
      <c r="D4" s="48"/>
    </row>
    <row r="5" customFormat="false" ht="16.5" hidden="false" customHeight="true" outlineLevel="0" collapsed="false">
      <c r="A5" s="4" t="s">
        <v>2555</v>
      </c>
      <c r="B5" s="4" t="s">
        <v>2556</v>
      </c>
      <c r="C5" s="4" t="s">
        <v>1431</v>
      </c>
      <c r="D5" s="4"/>
    </row>
    <row r="6" customFormat="false" ht="69.75" hidden="false" customHeight="true" outlineLevel="0" collapsed="false">
      <c r="A6" s="5" t="s">
        <v>2557</v>
      </c>
      <c r="B6" s="5" t="s">
        <v>2558</v>
      </c>
      <c r="C6" s="5" t="s">
        <v>2559</v>
      </c>
      <c r="D6" s="5"/>
    </row>
    <row r="7" customFormat="false" ht="122.25" hidden="false" customHeight="true" outlineLevel="0" collapsed="false">
      <c r="A7" s="5" t="s">
        <v>2560</v>
      </c>
      <c r="B7" s="5" t="s">
        <v>2561</v>
      </c>
      <c r="C7" s="5" t="s">
        <v>2562</v>
      </c>
      <c r="D7" s="5"/>
    </row>
    <row r="8" customFormat="false" ht="148.5" hidden="false" customHeight="true" outlineLevel="0" collapsed="false">
      <c r="A8" s="5" t="s">
        <v>2563</v>
      </c>
      <c r="B8" s="5" t="s">
        <v>2564</v>
      </c>
      <c r="C8" s="5" t="s">
        <v>2565</v>
      </c>
      <c r="D8" s="5"/>
    </row>
    <row r="9" customFormat="false" ht="56.25" hidden="false" customHeight="true" outlineLevel="0" collapsed="false">
      <c r="A9" s="5" t="s">
        <v>2566</v>
      </c>
      <c r="B9" s="5" t="s">
        <v>2567</v>
      </c>
      <c r="C9" s="5" t="s">
        <v>2568</v>
      </c>
      <c r="D9" s="5"/>
    </row>
    <row r="10" customFormat="false" ht="43.5" hidden="false" customHeight="true" outlineLevel="0" collapsed="false">
      <c r="A10" s="5" t="s">
        <v>2569</v>
      </c>
      <c r="B10" s="5" t="s">
        <v>2570</v>
      </c>
      <c r="C10" s="5" t="s">
        <v>2571</v>
      </c>
      <c r="D10" s="5"/>
    </row>
    <row r="11" customFormat="false" ht="69.75" hidden="false" customHeight="true" outlineLevel="0" collapsed="false">
      <c r="A11" s="5" t="s">
        <v>2572</v>
      </c>
      <c r="B11" s="5" t="s">
        <v>2573</v>
      </c>
      <c r="C11" s="5" t="s">
        <v>2574</v>
      </c>
      <c r="D11" s="5"/>
    </row>
    <row r="12" customFormat="false" ht="7.5" hidden="false" customHeight="true" outlineLevel="0" collapsed="false"/>
    <row r="13" customFormat="false" ht="30" hidden="false" customHeight="true" outlineLevel="0" collapsed="false">
      <c r="A13" s="10" t="s">
        <v>2575</v>
      </c>
      <c r="B13" s="10"/>
      <c r="C13" s="10"/>
      <c r="D13" s="10"/>
    </row>
    <row r="14" customFormat="false" ht="7.5" hidden="false" customHeight="true" outlineLevel="0" collapsed="false"/>
    <row r="15" customFormat="false" ht="18" hidden="false" customHeight="true" outlineLevel="0" collapsed="false">
      <c r="A15" s="48" t="s">
        <v>2576</v>
      </c>
      <c r="B15" s="48"/>
      <c r="C15" s="48"/>
      <c r="D15" s="48"/>
    </row>
    <row r="16" customFormat="false" ht="16.5" hidden="false" customHeight="true" outlineLevel="0" collapsed="false">
      <c r="A16" s="4" t="s">
        <v>16</v>
      </c>
      <c r="B16" s="4" t="s">
        <v>2577</v>
      </c>
      <c r="C16" s="4" t="s">
        <v>2578</v>
      </c>
      <c r="D16" s="4"/>
    </row>
    <row r="17" customFormat="false" ht="16.5" hidden="false" customHeight="true" outlineLevel="0" collapsed="false">
      <c r="A17" s="11" t="s">
        <v>2579</v>
      </c>
      <c r="B17" s="11" t="s">
        <v>2580</v>
      </c>
      <c r="C17" s="11"/>
      <c r="D17" s="11"/>
    </row>
    <row r="18" customFormat="false" ht="30" hidden="false" customHeight="true" outlineLevel="0" collapsed="false">
      <c r="A18" s="11" t="s">
        <v>2581</v>
      </c>
      <c r="B18" s="11" t="s">
        <v>2582</v>
      </c>
      <c r="C18" s="11" t="s">
        <v>2583</v>
      </c>
      <c r="D18" s="11"/>
    </row>
    <row r="19" customFormat="false" ht="43.5" hidden="false" customHeight="true" outlineLevel="0" collapsed="false">
      <c r="A19" s="11" t="s">
        <v>2584</v>
      </c>
      <c r="B19" s="11" t="s">
        <v>2585</v>
      </c>
      <c r="C19" s="11" t="s">
        <v>2586</v>
      </c>
      <c r="D19" s="11"/>
    </row>
    <row r="20" customFormat="false" ht="30" hidden="false" customHeight="true" outlineLevel="0" collapsed="false">
      <c r="A20" s="11" t="s">
        <v>2587</v>
      </c>
      <c r="B20" s="11" t="s">
        <v>2588</v>
      </c>
      <c r="C20" s="11" t="s">
        <v>2589</v>
      </c>
      <c r="D20" s="11"/>
    </row>
    <row r="21" customFormat="false" ht="30" hidden="false" customHeight="true" outlineLevel="0" collapsed="false">
      <c r="A21" s="11" t="s">
        <v>2590</v>
      </c>
      <c r="B21" s="11" t="s">
        <v>2591</v>
      </c>
      <c r="C21" s="11" t="s">
        <v>2592</v>
      </c>
      <c r="D21" s="11"/>
    </row>
    <row r="22" customFormat="false" ht="30" hidden="false" customHeight="true" outlineLevel="0" collapsed="false">
      <c r="A22" s="11" t="s">
        <v>2593</v>
      </c>
      <c r="B22" s="11" t="s">
        <v>2594</v>
      </c>
      <c r="C22" s="11" t="s">
        <v>2595</v>
      </c>
      <c r="D22" s="11"/>
    </row>
    <row r="23" customFormat="false" ht="7.5" hidden="false" customHeight="true" outlineLevel="0" collapsed="false"/>
    <row r="24" customFormat="false" ht="30" hidden="false" customHeight="true" outlineLevel="0" collapsed="false">
      <c r="A24" s="6" t="s">
        <v>2596</v>
      </c>
      <c r="B24" s="6"/>
      <c r="C24" s="6"/>
      <c r="D24" s="6"/>
    </row>
    <row r="25" customFormat="false" ht="7.5" hidden="false" customHeight="true" outlineLevel="0" collapsed="false"/>
    <row r="26" customFormat="false" ht="18" hidden="false" customHeight="true" outlineLevel="0" collapsed="false">
      <c r="A26" s="48" t="s">
        <v>2597</v>
      </c>
      <c r="B26" s="48"/>
      <c r="C26" s="48"/>
      <c r="D26" s="48"/>
    </row>
    <row r="27" customFormat="false" ht="16.5" hidden="false" customHeight="true" outlineLevel="0" collapsed="false">
      <c r="A27" s="4" t="s">
        <v>996</v>
      </c>
      <c r="B27" s="4" t="s">
        <v>2598</v>
      </c>
      <c r="C27" s="4" t="s">
        <v>1431</v>
      </c>
      <c r="D27" s="4"/>
    </row>
    <row r="28" customFormat="false" ht="43.5" hidden="false" customHeight="true" outlineLevel="0" collapsed="false">
      <c r="A28" s="5" t="s">
        <v>2599</v>
      </c>
      <c r="B28" s="5" t="s">
        <v>2600</v>
      </c>
      <c r="C28" s="5" t="s">
        <v>2601</v>
      </c>
      <c r="D28" s="5"/>
    </row>
    <row r="29" customFormat="false" ht="43.5" hidden="false" customHeight="true" outlineLevel="0" collapsed="false">
      <c r="A29" s="5" t="s">
        <v>2602</v>
      </c>
      <c r="B29" s="5" t="s">
        <v>2603</v>
      </c>
      <c r="C29" s="5" t="s">
        <v>2604</v>
      </c>
      <c r="D29" s="5"/>
    </row>
    <row r="30" customFormat="false" ht="69.75" hidden="false" customHeight="true" outlineLevel="0" collapsed="false">
      <c r="A30" s="5" t="s">
        <v>2605</v>
      </c>
      <c r="B30" s="5" t="s">
        <v>2606</v>
      </c>
      <c r="C30" s="5" t="s">
        <v>2607</v>
      </c>
      <c r="D30" s="5"/>
    </row>
    <row r="31" customFormat="false" ht="30" hidden="false" customHeight="true" outlineLevel="0" collapsed="false">
      <c r="A31" s="5" t="s">
        <v>2608</v>
      </c>
      <c r="B31" s="5" t="s">
        <v>2609</v>
      </c>
      <c r="C31" s="5" t="s">
        <v>2610</v>
      </c>
      <c r="D31" s="5"/>
    </row>
    <row r="32" customFormat="false" ht="43.5" hidden="false" customHeight="true" outlineLevel="0" collapsed="false">
      <c r="A32" s="5" t="s">
        <v>2611</v>
      </c>
      <c r="B32" s="5" t="s">
        <v>2612</v>
      </c>
      <c r="C32" s="5" t="s">
        <v>2613</v>
      </c>
      <c r="D32" s="5"/>
    </row>
    <row r="33" customFormat="false" ht="7.5" hidden="false" customHeight="true" outlineLevel="0" collapsed="false"/>
    <row r="34" customFormat="false" ht="16.5" hidden="false" customHeight="true" outlineLevel="0" collapsed="false">
      <c r="A34" s="10" t="s">
        <v>2614</v>
      </c>
      <c r="B34" s="10"/>
      <c r="C34" s="10"/>
      <c r="D34" s="10"/>
    </row>
    <row r="35" customFormat="false" ht="7.5" hidden="false" customHeight="true" outlineLevel="0" collapsed="false"/>
    <row r="36" customFormat="false" ht="18" hidden="false" customHeight="true" outlineLevel="0" collapsed="false">
      <c r="A36" s="48" t="s">
        <v>2615</v>
      </c>
      <c r="B36" s="48"/>
      <c r="C36" s="48"/>
      <c r="D36" s="48"/>
    </row>
    <row r="37" customFormat="false" ht="16.5" hidden="false" customHeight="true" outlineLevel="0" collapsed="false">
      <c r="A37" s="4" t="s">
        <v>996</v>
      </c>
      <c r="B37" s="4" t="s">
        <v>2616</v>
      </c>
      <c r="C37" s="4"/>
      <c r="D37" s="4"/>
    </row>
    <row r="38" customFormat="false" ht="16.5" hidden="false" customHeight="true" outlineLevel="0" collapsed="false">
      <c r="A38" s="5" t="s">
        <v>2599</v>
      </c>
      <c r="B38" s="5" t="s">
        <v>2617</v>
      </c>
      <c r="C38" s="5"/>
      <c r="D38" s="5"/>
    </row>
    <row r="39" customFormat="false" ht="16.5" hidden="false" customHeight="true" outlineLevel="0" collapsed="false">
      <c r="A39" s="5" t="s">
        <v>2602</v>
      </c>
      <c r="B39" s="5" t="s">
        <v>2618</v>
      </c>
      <c r="C39" s="5"/>
      <c r="D39" s="5"/>
    </row>
    <row r="40" customFormat="false" ht="16.5" hidden="false" customHeight="true" outlineLevel="0" collapsed="false">
      <c r="A40" s="5" t="s">
        <v>2605</v>
      </c>
      <c r="B40" s="5" t="s">
        <v>2619</v>
      </c>
      <c r="C40" s="5"/>
      <c r="D40" s="5"/>
    </row>
    <row r="41" customFormat="false" ht="16.5" hidden="false" customHeight="true" outlineLevel="0" collapsed="false">
      <c r="A41" s="5" t="s">
        <v>2608</v>
      </c>
      <c r="B41" s="5" t="s">
        <v>2620</v>
      </c>
      <c r="C41" s="5"/>
      <c r="D41" s="5"/>
    </row>
    <row r="42" customFormat="false" ht="7.5" hidden="false" customHeight="true" outlineLevel="0" collapsed="false"/>
    <row r="43" customFormat="false" ht="43.5" hidden="false" customHeight="true" outlineLevel="0" collapsed="false">
      <c r="A43" s="6" t="s">
        <v>2621</v>
      </c>
      <c r="B43" s="6"/>
      <c r="C43" s="6"/>
      <c r="D43" s="6"/>
    </row>
    <row r="44" customFormat="false" ht="7.5" hidden="false" customHeight="true" outlineLevel="0" collapsed="false"/>
    <row r="45" customFormat="false" ht="18" hidden="false" customHeight="true" outlineLevel="0" collapsed="false">
      <c r="A45" s="48" t="s">
        <v>2622</v>
      </c>
      <c r="B45" s="48"/>
      <c r="C45" s="48"/>
      <c r="D45" s="48"/>
    </row>
    <row r="46" customFormat="false" ht="16.5" hidden="false" customHeight="true" outlineLevel="0" collapsed="false">
      <c r="A46" s="5" t="s">
        <v>2623</v>
      </c>
      <c r="B46" s="5"/>
      <c r="C46" s="5"/>
      <c r="D46" s="5"/>
    </row>
    <row r="47" customFormat="false" ht="16.5" hidden="false" customHeight="true" outlineLevel="0" collapsed="false">
      <c r="A47" s="5" t="s">
        <v>2624</v>
      </c>
      <c r="B47" s="5"/>
      <c r="C47" s="5"/>
      <c r="D47" s="5"/>
    </row>
    <row r="48" customFormat="false" ht="16.5" hidden="false" customHeight="true" outlineLevel="0" collapsed="false">
      <c r="A48" s="5" t="s">
        <v>2625</v>
      </c>
      <c r="B48" s="5"/>
      <c r="C48" s="5"/>
      <c r="D48" s="5"/>
    </row>
    <row r="49" customFormat="false" ht="16.5" hidden="false" customHeight="true" outlineLevel="0" collapsed="false">
      <c r="A49" s="5" t="s">
        <v>2626</v>
      </c>
      <c r="B49" s="5"/>
      <c r="C49" s="5"/>
      <c r="D49" s="5"/>
    </row>
    <row r="50" customFormat="false" ht="7.5" hidden="false" customHeight="true" outlineLevel="0" collapsed="false"/>
    <row r="51" customFormat="false" ht="18" hidden="false" customHeight="true" outlineLevel="0" collapsed="false">
      <c r="A51" s="48" t="s">
        <v>2627</v>
      </c>
      <c r="B51" s="48"/>
      <c r="C51" s="48"/>
      <c r="D51" s="48"/>
    </row>
    <row r="52" customFormat="false" ht="16.5" hidden="false" customHeight="true" outlineLevel="0" collapsed="false">
      <c r="A52" s="4" t="s">
        <v>603</v>
      </c>
      <c r="B52" s="4" t="s">
        <v>2628</v>
      </c>
      <c r="C52" s="4"/>
      <c r="D52" s="4"/>
    </row>
    <row r="53" customFormat="false" ht="43.5" hidden="false" customHeight="true" outlineLevel="0" collapsed="false">
      <c r="A53" s="9" t="s">
        <v>142</v>
      </c>
      <c r="B53" s="5" t="s">
        <v>2629</v>
      </c>
      <c r="C53" s="5"/>
      <c r="D53" s="5"/>
    </row>
    <row r="54" customFormat="false" ht="16.5" hidden="false" customHeight="true" outlineLevel="0" collapsed="false">
      <c r="A54" s="9" t="s">
        <v>418</v>
      </c>
      <c r="B54" s="5" t="s">
        <v>2630</v>
      </c>
      <c r="C54" s="5"/>
      <c r="D54" s="5"/>
    </row>
    <row r="55" customFormat="false" ht="7.5" hidden="false" customHeight="true" outlineLevel="0" collapsed="false"/>
    <row r="56" customFormat="false" ht="16.5" hidden="false" customHeight="true" outlineLevel="0" collapsed="false">
      <c r="A56" s="4" t="s">
        <v>1604</v>
      </c>
      <c r="B56" s="4" t="s">
        <v>166</v>
      </c>
      <c r="C56" s="4" t="s">
        <v>255</v>
      </c>
      <c r="D56" s="4"/>
    </row>
    <row r="57" customFormat="false" ht="30" hidden="false" customHeight="true" outlineLevel="0" collapsed="false">
      <c r="A57" s="5" t="s">
        <v>2631</v>
      </c>
      <c r="B57" s="9" t="s">
        <v>2632</v>
      </c>
      <c r="C57" s="5" t="s">
        <v>426</v>
      </c>
      <c r="D57" s="5"/>
    </row>
    <row r="58" customFormat="false" ht="30" hidden="false" customHeight="true" outlineLevel="0" collapsed="false">
      <c r="A58" s="5" t="s">
        <v>421</v>
      </c>
      <c r="B58" s="9" t="s">
        <v>2633</v>
      </c>
      <c r="C58" s="5" t="s">
        <v>423</v>
      </c>
      <c r="D58" s="5"/>
    </row>
    <row r="59" customFormat="false" ht="7.5" hidden="false" customHeight="true" outlineLevel="0" collapsed="false"/>
    <row r="60" customFormat="false" ht="30" hidden="false" customHeight="true" outlineLevel="0" collapsed="false">
      <c r="A60" s="10" t="s">
        <v>2634</v>
      </c>
      <c r="B60" s="10"/>
      <c r="C60" s="10"/>
      <c r="D60" s="10"/>
    </row>
    <row r="61" customFormat="false" ht="7.5" hidden="false" customHeight="true" outlineLevel="0" collapsed="false"/>
    <row r="62" customFormat="false" ht="30" hidden="false" customHeight="true" outlineLevel="0" collapsed="false">
      <c r="A62" s="6" t="s">
        <v>2635</v>
      </c>
      <c r="B62" s="6"/>
      <c r="C62" s="6"/>
      <c r="D62" s="6"/>
    </row>
    <row r="63" customFormat="false" ht="7.5" hidden="false" customHeight="true" outlineLevel="0" collapsed="false"/>
    <row r="64" customFormat="false" ht="18" hidden="false" customHeight="true" outlineLevel="0" collapsed="false">
      <c r="A64" s="48" t="s">
        <v>2636</v>
      </c>
      <c r="B64" s="48"/>
      <c r="C64" s="48"/>
      <c r="D64" s="48"/>
    </row>
    <row r="65" customFormat="false" ht="16.5" hidden="false" customHeight="true" outlineLevel="0" collapsed="false">
      <c r="A65" s="4" t="s">
        <v>467</v>
      </c>
      <c r="B65" s="4" t="s">
        <v>2637</v>
      </c>
      <c r="C65" s="4" t="s">
        <v>2638</v>
      </c>
      <c r="D65" s="4"/>
    </row>
    <row r="66" customFormat="false" ht="30" hidden="false" customHeight="true" outlineLevel="0" collapsed="false">
      <c r="A66" s="5" t="s">
        <v>2639</v>
      </c>
      <c r="B66" s="5" t="s">
        <v>2640</v>
      </c>
      <c r="C66" s="5" t="s">
        <v>2641</v>
      </c>
      <c r="D66" s="5"/>
    </row>
    <row r="67" customFormat="false" ht="43.5" hidden="false" customHeight="true" outlineLevel="0" collapsed="false">
      <c r="A67" s="5" t="s">
        <v>2642</v>
      </c>
      <c r="B67" s="5" t="s">
        <v>142</v>
      </c>
      <c r="C67" s="5" t="s">
        <v>221</v>
      </c>
      <c r="D67" s="5"/>
    </row>
    <row r="68" customFormat="false" ht="30" hidden="false" customHeight="true" outlineLevel="0" collapsed="false">
      <c r="A68" s="5" t="s">
        <v>2643</v>
      </c>
      <c r="B68" s="5" t="s">
        <v>297</v>
      </c>
      <c r="C68" s="5" t="s">
        <v>197</v>
      </c>
      <c r="D68" s="5"/>
    </row>
    <row r="69" customFormat="false" ht="30" hidden="false" customHeight="true" outlineLevel="0" collapsed="false">
      <c r="A69" s="5" t="s">
        <v>2644</v>
      </c>
      <c r="B69" s="5" t="s">
        <v>2645</v>
      </c>
      <c r="C69" s="5" t="s">
        <v>2646</v>
      </c>
      <c r="D69" s="5"/>
    </row>
    <row r="70" customFormat="false" ht="30" hidden="false" customHeight="true" outlineLevel="0" collapsed="false">
      <c r="A70" s="5" t="s">
        <v>2647</v>
      </c>
      <c r="B70" s="5" t="s">
        <v>2648</v>
      </c>
      <c r="C70" s="5" t="s">
        <v>2649</v>
      </c>
      <c r="D70" s="5"/>
    </row>
    <row r="71" customFormat="false" ht="30" hidden="false" customHeight="true" outlineLevel="0" collapsed="false">
      <c r="A71" s="5" t="s">
        <v>2650</v>
      </c>
      <c r="B71" s="5" t="s">
        <v>2651</v>
      </c>
      <c r="C71" s="5" t="s">
        <v>1994</v>
      </c>
      <c r="D71" s="5"/>
    </row>
    <row r="72" customFormat="false" ht="7.5" hidden="false" customHeight="true" outlineLevel="0" collapsed="false"/>
    <row r="73" customFormat="false" ht="30" hidden="false" customHeight="true" outlineLevel="0" collapsed="false">
      <c r="A73" s="35" t="s">
        <v>2652</v>
      </c>
      <c r="B73" s="35"/>
      <c r="C73" s="35"/>
      <c r="D73" s="35"/>
    </row>
    <row r="74" customFormat="false" ht="7.5" hidden="false" customHeight="true" outlineLevel="0" collapsed="false"/>
    <row r="75" customFormat="false" ht="16.5" hidden="false" customHeight="true" outlineLevel="0" collapsed="false">
      <c r="A75" s="7" t="s">
        <v>86</v>
      </c>
      <c r="B75" s="7"/>
      <c r="C75" s="7"/>
      <c r="D75" s="7"/>
    </row>
    <row r="76" customFormat="false" ht="16.5" hidden="false" customHeight="true" outlineLevel="0" collapsed="false">
      <c r="A76" s="8" t="s">
        <v>2653</v>
      </c>
      <c r="B76" s="8"/>
      <c r="C76" s="8"/>
      <c r="D76" s="8"/>
    </row>
    <row r="77" customFormat="false" ht="16.5" hidden="false" customHeight="true" outlineLevel="0" collapsed="false">
      <c r="A77" s="8" t="s">
        <v>2654</v>
      </c>
      <c r="B77" s="8"/>
      <c r="C77" s="8"/>
      <c r="D77" s="8"/>
    </row>
    <row r="78" customFormat="false" ht="16.5" hidden="false" customHeight="true" outlineLevel="0" collapsed="false">
      <c r="A78" s="8" t="s">
        <v>2655</v>
      </c>
      <c r="B78" s="8"/>
      <c r="C78" s="8"/>
      <c r="D78" s="8"/>
    </row>
    <row r="79" customFormat="false" ht="16.5" hidden="false" customHeight="true" outlineLevel="0" collapsed="false">
      <c r="A79" s="8" t="s">
        <v>2656</v>
      </c>
      <c r="B79" s="8"/>
      <c r="C79" s="8"/>
      <c r="D79" s="8"/>
    </row>
    <row r="80" customFormat="false" ht="16.5" hidden="false" customHeight="true" outlineLevel="0" collapsed="false">
      <c r="A80" s="8" t="s">
        <v>2657</v>
      </c>
      <c r="B80" s="8"/>
      <c r="C80" s="8"/>
      <c r="D80" s="8"/>
    </row>
    <row r="81" customFormat="false" ht="7.5" hidden="false" customHeight="true" outlineLevel="0" collapsed="false"/>
  </sheetData>
  <mergeCells count="64">
    <mergeCell ref="A1:D1"/>
    <mergeCell ref="A2:D2"/>
    <mergeCell ref="A4:D4"/>
    <mergeCell ref="C5:D5"/>
    <mergeCell ref="C6:D6"/>
    <mergeCell ref="C7:D7"/>
    <mergeCell ref="C8:D8"/>
    <mergeCell ref="C9:D9"/>
    <mergeCell ref="C10:D10"/>
    <mergeCell ref="C11:D11"/>
    <mergeCell ref="A13:D13"/>
    <mergeCell ref="A15:D15"/>
    <mergeCell ref="C16:D16"/>
    <mergeCell ref="C17:D17"/>
    <mergeCell ref="C18:D18"/>
    <mergeCell ref="C19:D19"/>
    <mergeCell ref="C20:D20"/>
    <mergeCell ref="C21:D21"/>
    <mergeCell ref="C22:D22"/>
    <mergeCell ref="A24:D24"/>
    <mergeCell ref="A26:D26"/>
    <mergeCell ref="C27:D27"/>
    <mergeCell ref="C28:D28"/>
    <mergeCell ref="C29:D29"/>
    <mergeCell ref="C30:D30"/>
    <mergeCell ref="C31:D31"/>
    <mergeCell ref="C32:D32"/>
    <mergeCell ref="A34:D34"/>
    <mergeCell ref="A36:D36"/>
    <mergeCell ref="B37:D37"/>
    <mergeCell ref="B38:D38"/>
    <mergeCell ref="B39:D39"/>
    <mergeCell ref="B40:D40"/>
    <mergeCell ref="B41:D41"/>
    <mergeCell ref="A43:D43"/>
    <mergeCell ref="A45:D45"/>
    <mergeCell ref="A46:D46"/>
    <mergeCell ref="A47:D47"/>
    <mergeCell ref="A48:D48"/>
    <mergeCell ref="A49:D49"/>
    <mergeCell ref="A51:D51"/>
    <mergeCell ref="B52:D52"/>
    <mergeCell ref="B53:D53"/>
    <mergeCell ref="B54:D54"/>
    <mergeCell ref="C56:D56"/>
    <mergeCell ref="C57:D57"/>
    <mergeCell ref="C58:D58"/>
    <mergeCell ref="A60:D60"/>
    <mergeCell ref="A62:D62"/>
    <mergeCell ref="A64:D64"/>
    <mergeCell ref="C65:D65"/>
    <mergeCell ref="C66:D66"/>
    <mergeCell ref="C67:D67"/>
    <mergeCell ref="C68:D68"/>
    <mergeCell ref="C69:D69"/>
    <mergeCell ref="C70:D70"/>
    <mergeCell ref="C71:D71"/>
    <mergeCell ref="A73:D73"/>
    <mergeCell ref="A75:D75"/>
    <mergeCell ref="A76:D76"/>
    <mergeCell ref="A77:D77"/>
    <mergeCell ref="A78:D78"/>
    <mergeCell ref="A79:D79"/>
    <mergeCell ref="A80:D8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B3F00"/>
    <pageSetUpPr fitToPage="true"/>
  </sheetPr>
  <dimension ref="A1:D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38"/>
  </cols>
  <sheetData>
    <row r="1" customFormat="false" ht="30" hidden="false" customHeight="true" outlineLevel="0" collapsed="false">
      <c r="A1" s="47" t="s">
        <v>2658</v>
      </c>
      <c r="B1" s="47"/>
      <c r="C1" s="47"/>
      <c r="D1" s="47"/>
    </row>
    <row r="2" customFormat="false" ht="33" hidden="false" customHeight="true" outlineLevel="0" collapsed="false">
      <c r="A2" s="2" t="s">
        <v>2659</v>
      </c>
      <c r="B2" s="2"/>
      <c r="C2" s="2"/>
      <c r="D2" s="2"/>
    </row>
    <row r="3" customFormat="false" ht="7.5" hidden="false" customHeight="true" outlineLevel="0" collapsed="false"/>
    <row r="4" customFormat="false" ht="18" hidden="false" customHeight="true" outlineLevel="0" collapsed="false">
      <c r="A4" s="48" t="s">
        <v>2660</v>
      </c>
      <c r="B4" s="48"/>
      <c r="C4" s="48"/>
      <c r="D4" s="48"/>
    </row>
    <row r="5" customFormat="false" ht="16.5" hidden="false" customHeight="true" outlineLevel="0" collapsed="false">
      <c r="A5" s="4"/>
      <c r="B5" s="4" t="s">
        <v>1677</v>
      </c>
      <c r="C5" s="4" t="s">
        <v>1252</v>
      </c>
      <c r="D5" s="4"/>
    </row>
    <row r="6" customFormat="false" ht="30" hidden="false" customHeight="true" outlineLevel="0" collapsed="false">
      <c r="A6" s="5" t="s">
        <v>2599</v>
      </c>
      <c r="B6" s="5" t="s">
        <v>2661</v>
      </c>
      <c r="C6" s="5" t="s">
        <v>2662</v>
      </c>
      <c r="D6" s="5"/>
    </row>
    <row r="7" customFormat="false" ht="43.5" hidden="false" customHeight="true" outlineLevel="0" collapsed="false">
      <c r="A7" s="5" t="s">
        <v>2602</v>
      </c>
      <c r="B7" s="5" t="s">
        <v>2663</v>
      </c>
      <c r="C7" s="5" t="s">
        <v>2664</v>
      </c>
      <c r="D7" s="5"/>
    </row>
    <row r="8" customFormat="false" ht="43.5" hidden="false" customHeight="true" outlineLevel="0" collapsed="false">
      <c r="A8" s="5" t="s">
        <v>2605</v>
      </c>
      <c r="B8" s="5" t="s">
        <v>2665</v>
      </c>
      <c r="C8" s="5" t="s">
        <v>2664</v>
      </c>
      <c r="D8" s="5"/>
    </row>
    <row r="9" customFormat="false" ht="43.5" hidden="false" customHeight="true" outlineLevel="0" collapsed="false">
      <c r="A9" s="5" t="s">
        <v>2608</v>
      </c>
      <c r="B9" s="5" t="s">
        <v>2666</v>
      </c>
      <c r="C9" s="5" t="s">
        <v>2664</v>
      </c>
      <c r="D9" s="5"/>
    </row>
    <row r="10" customFormat="false" ht="7.5" hidden="false" customHeight="true" outlineLevel="0" collapsed="false"/>
    <row r="11" customFormat="false" ht="18" hidden="false" customHeight="true" outlineLevel="0" collapsed="false">
      <c r="A11" s="48" t="s">
        <v>2667</v>
      </c>
      <c r="B11" s="48"/>
      <c r="C11" s="48"/>
      <c r="D11" s="48"/>
    </row>
    <row r="12" customFormat="false" ht="16.5" hidden="false" customHeight="true" outlineLevel="0" collapsed="false">
      <c r="A12" s="4"/>
      <c r="B12" s="4" t="s">
        <v>1677</v>
      </c>
      <c r="C12" s="4" t="s">
        <v>1431</v>
      </c>
      <c r="D12" s="4"/>
    </row>
    <row r="13" customFormat="false" ht="16.5" hidden="false" customHeight="true" outlineLevel="0" collapsed="false">
      <c r="A13" s="5" t="s">
        <v>2599</v>
      </c>
      <c r="B13" s="5" t="s">
        <v>2668</v>
      </c>
      <c r="C13" s="5" t="s">
        <v>2669</v>
      </c>
      <c r="D13" s="5"/>
    </row>
    <row r="14" customFormat="false" ht="56.25" hidden="false" customHeight="true" outlineLevel="0" collapsed="false">
      <c r="A14" s="5" t="s">
        <v>2602</v>
      </c>
      <c r="B14" s="5" t="s">
        <v>2670</v>
      </c>
      <c r="C14" s="5" t="s">
        <v>2671</v>
      </c>
      <c r="D14" s="5"/>
    </row>
    <row r="15" customFormat="false" ht="30" hidden="false" customHeight="true" outlineLevel="0" collapsed="false">
      <c r="A15" s="5" t="s">
        <v>2605</v>
      </c>
      <c r="B15" s="5" t="s">
        <v>2672</v>
      </c>
      <c r="C15" s="5" t="s">
        <v>2673</v>
      </c>
      <c r="D15" s="5"/>
    </row>
    <row r="16" customFormat="false" ht="16.5" hidden="false" customHeight="true" outlineLevel="0" collapsed="false">
      <c r="A16" s="5" t="s">
        <v>2608</v>
      </c>
      <c r="B16" s="5" t="s">
        <v>2674</v>
      </c>
      <c r="C16" s="5" t="s">
        <v>2675</v>
      </c>
      <c r="D16" s="5"/>
    </row>
    <row r="17" customFormat="false" ht="7.5" hidden="false" customHeight="true" outlineLevel="0" collapsed="false"/>
    <row r="18" customFormat="false" ht="18" hidden="false" customHeight="true" outlineLevel="0" collapsed="false">
      <c r="A18" s="48" t="s">
        <v>2676</v>
      </c>
      <c r="B18" s="48"/>
      <c r="C18" s="48"/>
      <c r="D18" s="48"/>
    </row>
    <row r="19" customFormat="false" ht="16.5" hidden="false" customHeight="true" outlineLevel="0" collapsed="false">
      <c r="A19" s="5" t="s">
        <v>2677</v>
      </c>
      <c r="B19" s="5"/>
      <c r="C19" s="5"/>
      <c r="D19" s="5"/>
    </row>
    <row r="20" customFormat="false" ht="30" hidden="false" customHeight="true" outlineLevel="0" collapsed="false">
      <c r="A20" s="5" t="s">
        <v>2678</v>
      </c>
      <c r="B20" s="5"/>
      <c r="C20" s="5"/>
      <c r="D20" s="5"/>
    </row>
    <row r="21" customFormat="false" ht="16.5" hidden="false" customHeight="true" outlineLevel="0" collapsed="false">
      <c r="A21" s="5" t="s">
        <v>2679</v>
      </c>
      <c r="B21" s="5"/>
      <c r="C21" s="5"/>
      <c r="D21" s="5"/>
    </row>
    <row r="22" customFormat="false" ht="7.5" hidden="false" customHeight="true" outlineLevel="0" collapsed="false"/>
    <row r="23" customFormat="false" ht="18" hidden="false" customHeight="true" outlineLevel="0" collapsed="false">
      <c r="A23" s="48" t="s">
        <v>2680</v>
      </c>
      <c r="B23" s="48"/>
      <c r="C23" s="48"/>
      <c r="D23" s="48"/>
    </row>
    <row r="24" customFormat="false" ht="16.5" hidden="false" customHeight="true" outlineLevel="0" collapsed="false">
      <c r="A24" s="4" t="s">
        <v>2681</v>
      </c>
      <c r="B24" s="4" t="s">
        <v>2682</v>
      </c>
      <c r="C24" s="4" t="s">
        <v>2578</v>
      </c>
      <c r="D24" s="4"/>
    </row>
    <row r="25" customFormat="false" ht="30" hidden="false" customHeight="true" outlineLevel="0" collapsed="false">
      <c r="A25" s="5" t="s">
        <v>2683</v>
      </c>
      <c r="B25" s="5" t="s">
        <v>2684</v>
      </c>
      <c r="C25" s="5" t="s">
        <v>2685</v>
      </c>
      <c r="D25" s="5"/>
    </row>
    <row r="26" customFormat="false" ht="43.5" hidden="false" customHeight="true" outlineLevel="0" collapsed="false">
      <c r="A26" s="5" t="s">
        <v>2686</v>
      </c>
      <c r="B26" s="5" t="s">
        <v>2687</v>
      </c>
      <c r="C26" s="5" t="s">
        <v>2688</v>
      </c>
      <c r="D26" s="5"/>
    </row>
    <row r="27" customFormat="false" ht="43.5" hidden="false" customHeight="true" outlineLevel="0" collapsed="false">
      <c r="A27" s="5" t="s">
        <v>2689</v>
      </c>
      <c r="B27" s="5" t="s">
        <v>2690</v>
      </c>
      <c r="C27" s="5" t="s">
        <v>2691</v>
      </c>
      <c r="D27" s="5"/>
    </row>
    <row r="28" customFormat="false" ht="30" hidden="false" customHeight="true" outlineLevel="0" collapsed="false">
      <c r="A28" s="5" t="s">
        <v>2692</v>
      </c>
      <c r="B28" s="5" t="s">
        <v>2693</v>
      </c>
      <c r="C28" s="5" t="s">
        <v>2694</v>
      </c>
      <c r="D28" s="5"/>
    </row>
    <row r="29" customFormat="false" ht="16.5" hidden="false" customHeight="true" outlineLevel="0" collapsed="false">
      <c r="A29" s="5" t="s">
        <v>2695</v>
      </c>
      <c r="B29" s="5" t="s">
        <v>2696</v>
      </c>
      <c r="C29" s="5" t="s">
        <v>2697</v>
      </c>
      <c r="D29" s="5"/>
    </row>
    <row r="30" customFormat="false" ht="16.5" hidden="false" customHeight="true" outlineLevel="0" collapsed="false">
      <c r="A30" s="5" t="s">
        <v>2698</v>
      </c>
      <c r="B30" s="5" t="s">
        <v>2699</v>
      </c>
      <c r="C30" s="5" t="s">
        <v>2700</v>
      </c>
      <c r="D30" s="5"/>
    </row>
    <row r="31" customFormat="false" ht="16.5" hidden="false" customHeight="true" outlineLevel="0" collapsed="false">
      <c r="A31" s="5" t="s">
        <v>2701</v>
      </c>
      <c r="B31" s="5" t="s">
        <v>2702</v>
      </c>
      <c r="C31" s="5" t="s">
        <v>2703</v>
      </c>
      <c r="D31" s="5"/>
    </row>
    <row r="32" customFormat="false" ht="30" hidden="false" customHeight="true" outlineLevel="0" collapsed="false">
      <c r="A32" s="5" t="s">
        <v>2704</v>
      </c>
      <c r="B32" s="5" t="s">
        <v>2705</v>
      </c>
      <c r="C32" s="5" t="s">
        <v>2706</v>
      </c>
      <c r="D32" s="5"/>
    </row>
    <row r="33" customFormat="false" ht="7.5" hidden="false" customHeight="true" outlineLevel="0" collapsed="false"/>
    <row r="34" customFormat="false" ht="43.5" hidden="false" customHeight="true" outlineLevel="0" collapsed="false">
      <c r="A34" s="10" t="s">
        <v>2707</v>
      </c>
      <c r="B34" s="10"/>
      <c r="C34" s="10"/>
      <c r="D34" s="10"/>
    </row>
    <row r="35" customFormat="false" ht="7.5" hidden="false" customHeight="true" outlineLevel="0" collapsed="false"/>
    <row r="36" customFormat="false" ht="18" hidden="false" customHeight="true" outlineLevel="0" collapsed="false">
      <c r="A36" s="48" t="s">
        <v>2708</v>
      </c>
      <c r="B36" s="48"/>
      <c r="C36" s="48"/>
      <c r="D36" s="48"/>
    </row>
    <row r="37" customFormat="false" ht="56.25" hidden="false" customHeight="true" outlineLevel="0" collapsed="false">
      <c r="A37" s="6" t="s">
        <v>2709</v>
      </c>
      <c r="B37" s="6"/>
      <c r="C37" s="6"/>
      <c r="D37" s="6"/>
    </row>
    <row r="38" customFormat="false" ht="7.5" hidden="false" customHeight="true" outlineLevel="0" collapsed="false"/>
    <row r="39" customFormat="false" ht="30" hidden="false" customHeight="true" outlineLevel="0" collapsed="false">
      <c r="A39" s="4" t="s">
        <v>2710</v>
      </c>
      <c r="B39" s="4" t="s">
        <v>1880</v>
      </c>
      <c r="C39" s="4"/>
      <c r="D39" s="4"/>
    </row>
    <row r="40" customFormat="false" ht="43.5" hidden="false" customHeight="true" outlineLevel="0" collapsed="false">
      <c r="A40" s="5" t="s">
        <v>2711</v>
      </c>
      <c r="B40" s="9" t="s">
        <v>2712</v>
      </c>
      <c r="C40" s="9"/>
      <c r="D40" s="9"/>
    </row>
    <row r="41" customFormat="false" ht="56.25" hidden="false" customHeight="true" outlineLevel="0" collapsed="false">
      <c r="A41" s="5" t="s">
        <v>2713</v>
      </c>
      <c r="B41" s="9" t="s">
        <v>1276</v>
      </c>
      <c r="C41" s="9"/>
      <c r="D41" s="9"/>
    </row>
    <row r="42" customFormat="false" ht="16.5" hidden="false" customHeight="true" outlineLevel="0" collapsed="false">
      <c r="A42" s="5" t="s">
        <v>2714</v>
      </c>
      <c r="B42" s="9" t="s">
        <v>1276</v>
      </c>
      <c r="C42" s="9"/>
      <c r="D42" s="9"/>
    </row>
    <row r="43" customFormat="false" ht="16.5" hidden="false" customHeight="true" outlineLevel="0" collapsed="false">
      <c r="A43" s="5" t="s">
        <v>2715</v>
      </c>
      <c r="B43" s="9" t="s">
        <v>2361</v>
      </c>
      <c r="C43" s="9"/>
      <c r="D43" s="9"/>
    </row>
    <row r="44" customFormat="false" ht="30" hidden="false" customHeight="true" outlineLevel="0" collapsed="false">
      <c r="A44" s="5" t="s">
        <v>2716</v>
      </c>
      <c r="B44" s="9" t="s">
        <v>2717</v>
      </c>
      <c r="C44" s="9"/>
      <c r="D44" s="9"/>
    </row>
    <row r="45" customFormat="false" ht="30" hidden="false" customHeight="true" outlineLevel="0" collapsed="false">
      <c r="A45" s="5" t="s">
        <v>2718</v>
      </c>
      <c r="B45" s="9" t="s">
        <v>2719</v>
      </c>
      <c r="C45" s="9"/>
      <c r="D45" s="9"/>
    </row>
    <row r="46" customFormat="false" ht="7.5" hidden="false" customHeight="true" outlineLevel="0" collapsed="false"/>
    <row r="47" customFormat="false" ht="16.5" hidden="false" customHeight="true" outlineLevel="0" collapsed="false">
      <c r="A47" s="4" t="s">
        <v>2720</v>
      </c>
      <c r="B47" s="4" t="s">
        <v>1880</v>
      </c>
      <c r="C47" s="4"/>
      <c r="D47" s="4"/>
    </row>
    <row r="48" customFormat="false" ht="30" hidden="false" customHeight="true" outlineLevel="0" collapsed="false">
      <c r="A48" s="5" t="s">
        <v>2721</v>
      </c>
      <c r="B48" s="9" t="s">
        <v>2722</v>
      </c>
      <c r="C48" s="9"/>
      <c r="D48" s="9"/>
    </row>
    <row r="49" customFormat="false" ht="30" hidden="false" customHeight="true" outlineLevel="0" collapsed="false">
      <c r="A49" s="5" t="s">
        <v>2723</v>
      </c>
      <c r="B49" s="9" t="s">
        <v>2712</v>
      </c>
      <c r="C49" s="9"/>
      <c r="D49" s="9"/>
    </row>
    <row r="50" customFormat="false" ht="30" hidden="false" customHeight="true" outlineLevel="0" collapsed="false">
      <c r="A50" s="5" t="s">
        <v>2724</v>
      </c>
      <c r="B50" s="9" t="s">
        <v>2725</v>
      </c>
      <c r="C50" s="9"/>
      <c r="D50" s="9"/>
    </row>
    <row r="51" customFormat="false" ht="43.5" hidden="false" customHeight="true" outlineLevel="0" collapsed="false">
      <c r="A51" s="5" t="s">
        <v>2726</v>
      </c>
      <c r="B51" s="9" t="s">
        <v>2727</v>
      </c>
      <c r="C51" s="9"/>
      <c r="D51" s="9"/>
    </row>
    <row r="52" customFormat="false" ht="16.5" hidden="false" customHeight="true" outlineLevel="0" collapsed="false">
      <c r="A52" s="5" t="s">
        <v>955</v>
      </c>
      <c r="B52" s="9" t="s">
        <v>2728</v>
      </c>
      <c r="C52" s="9"/>
      <c r="D52" s="9"/>
    </row>
    <row r="53" customFormat="false" ht="16.5" hidden="false" customHeight="true" outlineLevel="0" collapsed="false">
      <c r="A53" s="5" t="s">
        <v>2729</v>
      </c>
      <c r="B53" s="9" t="s">
        <v>2730</v>
      </c>
      <c r="C53" s="9"/>
      <c r="D53" s="9"/>
    </row>
    <row r="54" customFormat="false" ht="7.5" hidden="false" customHeight="true" outlineLevel="0" collapsed="false"/>
    <row r="55" customFormat="false" ht="30" hidden="false" customHeight="true" outlineLevel="0" collapsed="false">
      <c r="A55" s="4" t="s">
        <v>2731</v>
      </c>
      <c r="B55" s="4" t="s">
        <v>1880</v>
      </c>
      <c r="C55" s="4"/>
      <c r="D55" s="4"/>
    </row>
    <row r="56" customFormat="false" ht="56.25" hidden="false" customHeight="true" outlineLevel="0" collapsed="false">
      <c r="A56" s="5" t="s">
        <v>2732</v>
      </c>
      <c r="B56" s="9" t="s">
        <v>2733</v>
      </c>
      <c r="C56" s="9"/>
      <c r="D56" s="9"/>
    </row>
    <row r="57" customFormat="false" ht="69.75" hidden="false" customHeight="true" outlineLevel="0" collapsed="false">
      <c r="A57" s="5" t="s">
        <v>2734</v>
      </c>
      <c r="B57" s="9" t="s">
        <v>2735</v>
      </c>
      <c r="C57" s="9"/>
      <c r="D57" s="9"/>
    </row>
    <row r="58" customFormat="false" ht="43.5" hidden="false" customHeight="true" outlineLevel="0" collapsed="false">
      <c r="A58" s="5" t="s">
        <v>2736</v>
      </c>
      <c r="B58" s="9" t="s">
        <v>2737</v>
      </c>
      <c r="C58" s="9"/>
      <c r="D58" s="9"/>
    </row>
    <row r="59" customFormat="false" ht="56.25" hidden="false" customHeight="true" outlineLevel="0" collapsed="false">
      <c r="A59" s="5" t="s">
        <v>2738</v>
      </c>
      <c r="B59" s="9" t="s">
        <v>2739</v>
      </c>
      <c r="C59" s="9"/>
      <c r="D59" s="9"/>
    </row>
    <row r="60" customFormat="false" ht="7.5" hidden="false" customHeight="true" outlineLevel="0" collapsed="false"/>
    <row r="61" customFormat="false" ht="30" hidden="false" customHeight="true" outlineLevel="0" collapsed="false">
      <c r="A61" s="6" t="s">
        <v>2740</v>
      </c>
      <c r="B61" s="6"/>
      <c r="C61" s="6"/>
      <c r="D61" s="6"/>
    </row>
    <row r="62" customFormat="false" ht="7.5" hidden="false" customHeight="true" outlineLevel="0" collapsed="false"/>
    <row r="63" customFormat="false" ht="16.5" hidden="false" customHeight="true" outlineLevel="0" collapsed="false">
      <c r="A63" s="7" t="s">
        <v>86</v>
      </c>
      <c r="B63" s="7"/>
      <c r="C63" s="7"/>
      <c r="D63" s="7"/>
    </row>
    <row r="64" customFormat="false" ht="16.5" hidden="false" customHeight="true" outlineLevel="0" collapsed="false">
      <c r="A64" s="8" t="s">
        <v>2741</v>
      </c>
      <c r="B64" s="8"/>
      <c r="C64" s="8"/>
      <c r="D64" s="8"/>
    </row>
    <row r="65" customFormat="false" ht="16.5" hidden="false" customHeight="true" outlineLevel="0" collapsed="false">
      <c r="A65" s="8" t="s">
        <v>2742</v>
      </c>
      <c r="B65" s="8"/>
      <c r="C65" s="8"/>
      <c r="D65" s="8"/>
    </row>
    <row r="66" customFormat="false" ht="16.5" hidden="false" customHeight="true" outlineLevel="0" collapsed="false">
      <c r="A66" s="8" t="s">
        <v>2743</v>
      </c>
      <c r="B66" s="8"/>
      <c r="C66" s="8"/>
      <c r="D66" s="8"/>
    </row>
    <row r="67" customFormat="false" ht="16.5" hidden="false" customHeight="true" outlineLevel="0" collapsed="false">
      <c r="A67" s="8" t="s">
        <v>2744</v>
      </c>
      <c r="B67" s="8"/>
      <c r="C67" s="8"/>
      <c r="D67" s="8"/>
    </row>
    <row r="68" customFormat="false" ht="16.5" hidden="false" customHeight="true" outlineLevel="0" collapsed="false">
      <c r="A68" s="8" t="s">
        <v>2745</v>
      </c>
      <c r="B68" s="8"/>
      <c r="C68" s="8"/>
      <c r="D68" s="8"/>
    </row>
    <row r="69" customFormat="false" ht="7.5" hidden="false" customHeight="true" outlineLevel="0" collapsed="false"/>
  </sheetData>
  <mergeCells count="57">
    <mergeCell ref="A1:D1"/>
    <mergeCell ref="A2:D2"/>
    <mergeCell ref="A4:D4"/>
    <mergeCell ref="C5:D5"/>
    <mergeCell ref="C6:D6"/>
    <mergeCell ref="C7:D7"/>
    <mergeCell ref="C8:D8"/>
    <mergeCell ref="C9:D9"/>
    <mergeCell ref="A11:D11"/>
    <mergeCell ref="C12:D12"/>
    <mergeCell ref="C13:D13"/>
    <mergeCell ref="C14:D14"/>
    <mergeCell ref="C15:D15"/>
    <mergeCell ref="C16:D16"/>
    <mergeCell ref="A18:D18"/>
    <mergeCell ref="A19:D19"/>
    <mergeCell ref="A20:D20"/>
    <mergeCell ref="A21:D21"/>
    <mergeCell ref="A23:D23"/>
    <mergeCell ref="C24:D24"/>
    <mergeCell ref="C25:D25"/>
    <mergeCell ref="C26:D26"/>
    <mergeCell ref="C27:D27"/>
    <mergeCell ref="C28:D28"/>
    <mergeCell ref="C29:D29"/>
    <mergeCell ref="C30:D30"/>
    <mergeCell ref="C31:D31"/>
    <mergeCell ref="C32:D32"/>
    <mergeCell ref="A34:D34"/>
    <mergeCell ref="A36:D36"/>
    <mergeCell ref="A37:D37"/>
    <mergeCell ref="B39:D39"/>
    <mergeCell ref="B40:D40"/>
    <mergeCell ref="B41:D41"/>
    <mergeCell ref="B42:D42"/>
    <mergeCell ref="B43:D43"/>
    <mergeCell ref="B44:D44"/>
    <mergeCell ref="B45:D45"/>
    <mergeCell ref="B47:D47"/>
    <mergeCell ref="B48:D48"/>
    <mergeCell ref="B49:D49"/>
    <mergeCell ref="B50:D50"/>
    <mergeCell ref="B51:D51"/>
    <mergeCell ref="B52:D52"/>
    <mergeCell ref="B53:D53"/>
    <mergeCell ref="B55:D55"/>
    <mergeCell ref="B56:D56"/>
    <mergeCell ref="B57:D57"/>
    <mergeCell ref="B58:D58"/>
    <mergeCell ref="B59:D59"/>
    <mergeCell ref="A61:D61"/>
    <mergeCell ref="A63:D63"/>
    <mergeCell ref="A64:D64"/>
    <mergeCell ref="A65:D65"/>
    <mergeCell ref="A66:D66"/>
    <mergeCell ref="A67:D67"/>
    <mergeCell ref="A68:D6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1C1C"/>
    <pageSetUpPr fitToPage="true"/>
  </sheetPr>
  <dimension ref="A1:D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38"/>
  </cols>
  <sheetData>
    <row r="1" customFormat="false" ht="30" hidden="false" customHeight="true" outlineLevel="0" collapsed="false">
      <c r="A1" s="1" t="s">
        <v>2746</v>
      </c>
      <c r="B1" s="1"/>
      <c r="C1" s="1"/>
      <c r="D1" s="1"/>
    </row>
    <row r="2" customFormat="false" ht="47.25" hidden="false" customHeight="true" outlineLevel="0" collapsed="false">
      <c r="A2" s="2" t="s">
        <v>2747</v>
      </c>
      <c r="B2" s="2"/>
      <c r="C2" s="2"/>
      <c r="D2" s="2"/>
    </row>
    <row r="3" customFormat="false" ht="7.5" hidden="false" customHeight="true" outlineLevel="0" collapsed="false"/>
    <row r="4" customFormat="false" ht="18" hidden="false" customHeight="true" outlineLevel="0" collapsed="false">
      <c r="A4" s="3" t="s">
        <v>2748</v>
      </c>
      <c r="B4" s="3"/>
      <c r="C4" s="3"/>
      <c r="D4" s="3"/>
    </row>
    <row r="5" customFormat="false" ht="16.5" hidden="false" customHeight="true" outlineLevel="0" collapsed="false">
      <c r="A5" s="4" t="s">
        <v>467</v>
      </c>
      <c r="B5" s="4" t="s">
        <v>2749</v>
      </c>
      <c r="C5" s="4" t="s">
        <v>2750</v>
      </c>
      <c r="D5" s="4" t="s">
        <v>98</v>
      </c>
    </row>
    <row r="6" customFormat="false" ht="30" hidden="false" customHeight="true" outlineLevel="0" collapsed="false">
      <c r="A6" s="5" t="s">
        <v>2751</v>
      </c>
      <c r="B6" s="5" t="s">
        <v>2752</v>
      </c>
      <c r="C6" s="5" t="s">
        <v>2753</v>
      </c>
      <c r="D6" s="5" t="s">
        <v>2754</v>
      </c>
    </row>
    <row r="7" customFormat="false" ht="30" hidden="false" customHeight="true" outlineLevel="0" collapsed="false">
      <c r="A7" s="5" t="s">
        <v>2755</v>
      </c>
      <c r="B7" s="5" t="s">
        <v>2145</v>
      </c>
      <c r="C7" s="5" t="s">
        <v>2146</v>
      </c>
      <c r="D7" s="5" t="s">
        <v>2756</v>
      </c>
    </row>
    <row r="8" customFormat="false" ht="30" hidden="false" customHeight="true" outlineLevel="0" collapsed="false">
      <c r="A8" s="5" t="s">
        <v>2757</v>
      </c>
      <c r="B8" s="5" t="s">
        <v>2148</v>
      </c>
      <c r="C8" s="5" t="s">
        <v>2758</v>
      </c>
      <c r="D8" s="5" t="s">
        <v>2759</v>
      </c>
    </row>
    <row r="9" customFormat="false" ht="30" hidden="false" customHeight="true" outlineLevel="0" collapsed="false">
      <c r="A9" s="5" t="s">
        <v>2150</v>
      </c>
      <c r="B9" s="5" t="s">
        <v>2760</v>
      </c>
      <c r="C9" s="5" t="s">
        <v>2761</v>
      </c>
      <c r="D9" s="5" t="s">
        <v>2762</v>
      </c>
    </row>
    <row r="10" customFormat="false" ht="43.5" hidden="false" customHeight="true" outlineLevel="0" collapsed="false">
      <c r="A10" s="5" t="s">
        <v>304</v>
      </c>
      <c r="B10" s="5" t="s">
        <v>2154</v>
      </c>
      <c r="C10" s="5" t="s">
        <v>2155</v>
      </c>
      <c r="D10" s="5" t="s">
        <v>307</v>
      </c>
    </row>
    <row r="11" customFormat="false" ht="16.5" hidden="false" customHeight="true" outlineLevel="0" collapsed="false">
      <c r="A11" s="5" t="s">
        <v>2156</v>
      </c>
      <c r="B11" s="5" t="s">
        <v>2157</v>
      </c>
      <c r="C11" s="5" t="s">
        <v>2158</v>
      </c>
      <c r="D11" s="5" t="s">
        <v>2763</v>
      </c>
    </row>
    <row r="12" customFormat="false" ht="30" hidden="false" customHeight="true" outlineLevel="0" collapsed="false">
      <c r="A12" s="5" t="s">
        <v>2764</v>
      </c>
      <c r="B12" s="5" t="s">
        <v>2160</v>
      </c>
      <c r="C12" s="5" t="s">
        <v>2765</v>
      </c>
      <c r="D12" s="5" t="s">
        <v>2766</v>
      </c>
    </row>
    <row r="13" customFormat="false" ht="16.5" hidden="false" customHeight="true" outlineLevel="0" collapsed="false">
      <c r="A13" s="5" t="s">
        <v>2767</v>
      </c>
      <c r="B13" s="5" t="s">
        <v>2768</v>
      </c>
      <c r="C13" s="5" t="s">
        <v>2769</v>
      </c>
      <c r="D13" s="5" t="s">
        <v>2770</v>
      </c>
    </row>
    <row r="14" customFormat="false" ht="43.5" hidden="false" customHeight="true" outlineLevel="0" collapsed="false">
      <c r="A14" s="5" t="s">
        <v>2771</v>
      </c>
      <c r="B14" s="5" t="s">
        <v>2772</v>
      </c>
      <c r="C14" s="5" t="s">
        <v>2773</v>
      </c>
      <c r="D14" s="5" t="s">
        <v>2774</v>
      </c>
    </row>
    <row r="15" customFormat="false" ht="43.5" hidden="false" customHeight="true" outlineLevel="0" collapsed="false">
      <c r="A15" s="5" t="s">
        <v>2775</v>
      </c>
      <c r="B15" s="5" t="s">
        <v>2776</v>
      </c>
      <c r="C15" s="5" t="s">
        <v>2777</v>
      </c>
      <c r="D15" s="5" t="s">
        <v>2778</v>
      </c>
    </row>
    <row r="16" customFormat="false" ht="30" hidden="false" customHeight="true" outlineLevel="0" collapsed="false">
      <c r="A16" s="5" t="s">
        <v>2779</v>
      </c>
      <c r="B16" s="5" t="s">
        <v>2780</v>
      </c>
      <c r="C16" s="5" t="s">
        <v>2781</v>
      </c>
      <c r="D16" s="5" t="s">
        <v>2782</v>
      </c>
    </row>
    <row r="17" customFormat="false" ht="30" hidden="false" customHeight="true" outlineLevel="0" collapsed="false">
      <c r="A17" s="5" t="s">
        <v>2783</v>
      </c>
      <c r="B17" s="5" t="s">
        <v>2640</v>
      </c>
      <c r="C17" s="5" t="s">
        <v>2784</v>
      </c>
      <c r="D17" s="5"/>
    </row>
    <row r="18" customFormat="false" ht="30" hidden="false" customHeight="true" outlineLevel="0" collapsed="false">
      <c r="A18" s="5" t="s">
        <v>2785</v>
      </c>
      <c r="B18" s="5" t="s">
        <v>142</v>
      </c>
      <c r="C18" s="5" t="s">
        <v>221</v>
      </c>
      <c r="D18" s="5" t="s">
        <v>2786</v>
      </c>
    </row>
    <row r="19" customFormat="false" ht="43.5" hidden="false" customHeight="true" outlineLevel="0" collapsed="false">
      <c r="A19" s="5" t="s">
        <v>2787</v>
      </c>
      <c r="B19" s="5" t="s">
        <v>297</v>
      </c>
      <c r="C19" s="5" t="s">
        <v>197</v>
      </c>
      <c r="D19" s="5" t="s">
        <v>420</v>
      </c>
    </row>
    <row r="20" customFormat="false" ht="16.5" hidden="false" customHeight="true" outlineLevel="0" collapsed="false">
      <c r="A20" s="5" t="s">
        <v>2788</v>
      </c>
      <c r="B20" s="5" t="s">
        <v>2776</v>
      </c>
      <c r="C20" s="5" t="s">
        <v>2646</v>
      </c>
      <c r="D20" s="5"/>
    </row>
    <row r="21" customFormat="false" ht="43.5" hidden="false" customHeight="true" outlineLevel="0" collapsed="false">
      <c r="A21" s="5" t="s">
        <v>2789</v>
      </c>
      <c r="B21" s="5" t="s">
        <v>2790</v>
      </c>
      <c r="C21" s="5" t="s">
        <v>2791</v>
      </c>
      <c r="D21" s="5" t="s">
        <v>2792</v>
      </c>
    </row>
    <row r="22" customFormat="false" ht="30" hidden="false" customHeight="true" outlineLevel="0" collapsed="false">
      <c r="A22" s="5" t="s">
        <v>2650</v>
      </c>
      <c r="B22" s="5" t="s">
        <v>2651</v>
      </c>
      <c r="C22" s="5" t="s">
        <v>1994</v>
      </c>
      <c r="D22" s="5" t="s">
        <v>420</v>
      </c>
    </row>
    <row r="23" customFormat="false" ht="7.5" hidden="false" customHeight="true" outlineLevel="0" collapsed="false"/>
    <row r="24" customFormat="false" ht="16.5" hidden="false" customHeight="true" outlineLevel="0" collapsed="false">
      <c r="A24" s="40" t="s">
        <v>2793</v>
      </c>
      <c r="B24" s="40"/>
      <c r="C24" s="40"/>
      <c r="D24" s="40"/>
    </row>
    <row r="25" customFormat="false" ht="7.5" hidden="false" customHeight="true" outlineLevel="0" collapsed="false"/>
    <row r="26" customFormat="false" ht="18" hidden="false" customHeight="true" outlineLevel="0" collapsed="false">
      <c r="A26" s="3" t="s">
        <v>2794</v>
      </c>
      <c r="B26" s="3"/>
      <c r="C26" s="3"/>
      <c r="D26" s="3"/>
    </row>
    <row r="27" customFormat="false" ht="43.5" hidden="false" customHeight="true" outlineLevel="0" collapsed="false">
      <c r="A27" s="40" t="s">
        <v>2795</v>
      </c>
      <c r="B27" s="40"/>
      <c r="C27" s="40"/>
      <c r="D27" s="40"/>
    </row>
    <row r="28" customFormat="false" ht="7.5" hidden="false" customHeight="true" outlineLevel="0" collapsed="false"/>
    <row r="29" customFormat="false" ht="18" hidden="false" customHeight="true" outlineLevel="0" collapsed="false">
      <c r="A29" s="3" t="s">
        <v>2796</v>
      </c>
      <c r="B29" s="3"/>
      <c r="C29" s="3"/>
      <c r="D29" s="3"/>
    </row>
    <row r="30" customFormat="false" ht="16.5" hidden="false" customHeight="true" outlineLevel="0" collapsed="false">
      <c r="A30" s="4" t="s">
        <v>467</v>
      </c>
      <c r="B30" s="4" t="s">
        <v>2797</v>
      </c>
      <c r="C30" s="4" t="s">
        <v>2798</v>
      </c>
      <c r="D30" s="4"/>
    </row>
    <row r="31" customFormat="false" ht="56.25" hidden="false" customHeight="true" outlineLevel="0" collapsed="false">
      <c r="A31" s="5" t="s">
        <v>2799</v>
      </c>
      <c r="B31" s="5" t="s">
        <v>2800</v>
      </c>
      <c r="C31" s="5" t="s">
        <v>2801</v>
      </c>
      <c r="D31" s="5"/>
    </row>
    <row r="32" customFormat="false" ht="43.5" hidden="false" customHeight="true" outlineLevel="0" collapsed="false">
      <c r="A32" s="5" t="s">
        <v>2802</v>
      </c>
      <c r="B32" s="5" t="s">
        <v>2803</v>
      </c>
      <c r="C32" s="5" t="s">
        <v>2804</v>
      </c>
      <c r="D32" s="5"/>
    </row>
    <row r="33" customFormat="false" ht="30" hidden="false" customHeight="true" outlineLevel="0" collapsed="false">
      <c r="A33" s="5" t="s">
        <v>2805</v>
      </c>
      <c r="B33" s="5" t="s">
        <v>2806</v>
      </c>
      <c r="C33" s="5" t="s">
        <v>2807</v>
      </c>
      <c r="D33" s="5"/>
    </row>
    <row r="34" customFormat="false" ht="43.5" hidden="false" customHeight="true" outlineLevel="0" collapsed="false">
      <c r="A34" s="5" t="s">
        <v>2808</v>
      </c>
      <c r="B34" s="5" t="s">
        <v>2809</v>
      </c>
      <c r="C34" s="5" t="s">
        <v>2810</v>
      </c>
      <c r="D34" s="5"/>
    </row>
    <row r="35" customFormat="false" ht="7.5" hidden="false" customHeight="true" outlineLevel="0" collapsed="false"/>
    <row r="36" customFormat="false" ht="30" hidden="false" customHeight="true" outlineLevel="0" collapsed="false">
      <c r="A36" s="6" t="s">
        <v>2811</v>
      </c>
      <c r="B36" s="6"/>
      <c r="C36" s="6"/>
      <c r="D36" s="6"/>
    </row>
    <row r="37" customFormat="false" ht="7.5" hidden="false" customHeight="true" outlineLevel="0" collapsed="false"/>
    <row r="38" customFormat="false" ht="18" hidden="false" customHeight="true" outlineLevel="0" collapsed="false">
      <c r="A38" s="3" t="s">
        <v>2812</v>
      </c>
      <c r="B38" s="3"/>
      <c r="C38" s="3"/>
      <c r="D38" s="3"/>
    </row>
    <row r="39" customFormat="false" ht="16.5" hidden="false" customHeight="true" outlineLevel="0" collapsed="false">
      <c r="A39" s="40" t="s">
        <v>2813</v>
      </c>
      <c r="B39" s="40"/>
      <c r="C39" s="40"/>
      <c r="D39" s="40"/>
    </row>
    <row r="40" customFormat="false" ht="7.5" hidden="false" customHeight="true" outlineLevel="0" collapsed="false"/>
    <row r="41" customFormat="false" ht="18" hidden="false" customHeight="true" outlineLevel="0" collapsed="false">
      <c r="A41" s="3" t="s">
        <v>2814</v>
      </c>
      <c r="B41" s="3"/>
      <c r="C41" s="3"/>
      <c r="D41" s="3"/>
    </row>
    <row r="42" customFormat="false" ht="16.5" hidden="false" customHeight="true" outlineLevel="0" collapsed="false">
      <c r="A42" s="40" t="s">
        <v>2815</v>
      </c>
      <c r="B42" s="40"/>
      <c r="C42" s="40"/>
      <c r="D42" s="40"/>
    </row>
    <row r="43" customFormat="false" ht="7.5" hidden="false" customHeight="true" outlineLevel="0" collapsed="false"/>
  </sheetData>
  <mergeCells count="17">
    <mergeCell ref="A1:D1"/>
    <mergeCell ref="A2:D2"/>
    <mergeCell ref="A4:D4"/>
    <mergeCell ref="A24:D24"/>
    <mergeCell ref="A26:D26"/>
    <mergeCell ref="A27:D27"/>
    <mergeCell ref="A29:D29"/>
    <mergeCell ref="C30:D30"/>
    <mergeCell ref="C31:D31"/>
    <mergeCell ref="C32:D32"/>
    <mergeCell ref="C33:D33"/>
    <mergeCell ref="C34:D34"/>
    <mergeCell ref="A36:D36"/>
    <mergeCell ref="A38:D38"/>
    <mergeCell ref="A39:D39"/>
    <mergeCell ref="A41:D41"/>
    <mergeCell ref="A42:D4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1C1C"/>
    <pageSetUpPr fitToPage="true"/>
  </sheetPr>
  <dimension ref="A1:D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46"/>
    <col collapsed="false" customWidth="true" hidden="false" outlineLevel="0" max="4" min="4" style="0" width="38"/>
  </cols>
  <sheetData>
    <row r="1" customFormat="false" ht="30" hidden="false" customHeight="true" outlineLevel="0" collapsed="false">
      <c r="A1" s="1" t="s">
        <v>2816</v>
      </c>
      <c r="B1" s="1"/>
      <c r="C1" s="1"/>
      <c r="D1" s="1"/>
    </row>
    <row r="2" customFormat="false" ht="33" hidden="false" customHeight="true" outlineLevel="0" collapsed="false">
      <c r="A2" s="2" t="s">
        <v>2817</v>
      </c>
      <c r="B2" s="2"/>
      <c r="C2" s="2"/>
      <c r="D2" s="2"/>
    </row>
    <row r="3" customFormat="false" ht="7.5" hidden="false" customHeight="true" outlineLevel="0" collapsed="false"/>
    <row r="4" customFormat="false" ht="16.5" hidden="false" customHeight="true" outlineLevel="0" collapsed="false">
      <c r="A4" s="4" t="s">
        <v>205</v>
      </c>
      <c r="B4" s="4" t="s">
        <v>2818</v>
      </c>
      <c r="C4" s="4" t="s">
        <v>2819</v>
      </c>
      <c r="D4" s="4" t="s">
        <v>2820</v>
      </c>
    </row>
    <row r="5" customFormat="false" ht="30" hidden="false" customHeight="true" outlineLevel="0" collapsed="false">
      <c r="A5" s="5" t="s">
        <v>2821</v>
      </c>
      <c r="B5" s="5" t="s">
        <v>247</v>
      </c>
      <c r="C5" s="5" t="s">
        <v>211</v>
      </c>
      <c r="D5" s="5" t="s">
        <v>211</v>
      </c>
    </row>
    <row r="6" customFormat="false" ht="30" hidden="false" customHeight="true" outlineLevel="0" collapsed="false">
      <c r="A6" s="5" t="s">
        <v>2822</v>
      </c>
      <c r="B6" s="5" t="s">
        <v>321</v>
      </c>
      <c r="C6" s="5" t="s">
        <v>2823</v>
      </c>
      <c r="D6" s="5" t="s">
        <v>2824</v>
      </c>
    </row>
    <row r="7" customFormat="false" ht="30" hidden="false" customHeight="true" outlineLevel="0" collapsed="false">
      <c r="A7" s="5" t="s">
        <v>2825</v>
      </c>
      <c r="B7" s="5" t="s">
        <v>356</v>
      </c>
      <c r="C7" s="5" t="s">
        <v>2826</v>
      </c>
      <c r="D7" s="5" t="s">
        <v>2827</v>
      </c>
    </row>
    <row r="8" customFormat="false" ht="30" hidden="false" customHeight="true" outlineLevel="0" collapsed="false">
      <c r="A8" s="5" t="s">
        <v>2828</v>
      </c>
      <c r="B8" s="5" t="s">
        <v>356</v>
      </c>
      <c r="C8" s="5" t="s">
        <v>2829</v>
      </c>
      <c r="D8" s="5" t="s">
        <v>142</v>
      </c>
    </row>
    <row r="9" customFormat="false" ht="16.5" hidden="false" customHeight="true" outlineLevel="0" collapsed="false">
      <c r="A9" s="5" t="s">
        <v>2830</v>
      </c>
      <c r="B9" s="5" t="s">
        <v>356</v>
      </c>
      <c r="C9" s="5" t="s">
        <v>2831</v>
      </c>
      <c r="D9" s="5" t="s">
        <v>142</v>
      </c>
    </row>
    <row r="10" customFormat="false" ht="16.5" hidden="false" customHeight="true" outlineLevel="0" collapsed="false">
      <c r="A10" s="5" t="s">
        <v>2832</v>
      </c>
      <c r="B10" s="5" t="s">
        <v>181</v>
      </c>
      <c r="C10" s="5" t="s">
        <v>2823</v>
      </c>
      <c r="D10" s="5" t="s">
        <v>2833</v>
      </c>
    </row>
    <row r="11" customFormat="false" ht="30" hidden="false" customHeight="true" outlineLevel="0" collapsed="false">
      <c r="A11" s="5" t="s">
        <v>2834</v>
      </c>
      <c r="B11" s="5" t="s">
        <v>2835</v>
      </c>
      <c r="C11" s="5" t="s">
        <v>2836</v>
      </c>
      <c r="D11" s="5" t="s">
        <v>2837</v>
      </c>
    </row>
    <row r="12" customFormat="false" ht="30" hidden="false" customHeight="true" outlineLevel="0" collapsed="false">
      <c r="A12" s="5" t="s">
        <v>2838</v>
      </c>
      <c r="B12" s="5" t="s">
        <v>232</v>
      </c>
      <c r="C12" s="5" t="s">
        <v>185</v>
      </c>
      <c r="D12" s="5" t="s">
        <v>2839</v>
      </c>
    </row>
    <row r="13" customFormat="false" ht="30" hidden="false" customHeight="true" outlineLevel="0" collapsed="false">
      <c r="A13" s="5" t="s">
        <v>2840</v>
      </c>
      <c r="B13" s="5" t="s">
        <v>2841</v>
      </c>
      <c r="C13" s="5" t="s">
        <v>185</v>
      </c>
      <c r="D13" s="5" t="s">
        <v>185</v>
      </c>
    </row>
    <row r="14" customFormat="false" ht="30" hidden="false" customHeight="true" outlineLevel="0" collapsed="false">
      <c r="A14" s="5" t="s">
        <v>2842</v>
      </c>
      <c r="B14" s="5" t="s">
        <v>2843</v>
      </c>
      <c r="C14" s="5" t="s">
        <v>2844</v>
      </c>
      <c r="D14" s="5" t="s">
        <v>2845</v>
      </c>
    </row>
    <row r="15" customFormat="false" ht="43.5" hidden="false" customHeight="true" outlineLevel="0" collapsed="false">
      <c r="A15" s="5" t="s">
        <v>220</v>
      </c>
      <c r="B15" s="5" t="s">
        <v>221</v>
      </c>
      <c r="C15" s="5" t="s">
        <v>2823</v>
      </c>
      <c r="D15" s="5" t="s">
        <v>2846</v>
      </c>
    </row>
    <row r="16" customFormat="false" ht="16.5" hidden="false" customHeight="true" outlineLevel="0" collapsed="false">
      <c r="A16" s="5" t="s">
        <v>2847</v>
      </c>
      <c r="B16" s="5" t="s">
        <v>221</v>
      </c>
      <c r="C16" s="5" t="s">
        <v>2848</v>
      </c>
      <c r="D16" s="5" t="s">
        <v>142</v>
      </c>
    </row>
    <row r="17" customFormat="false" ht="16.5" hidden="false" customHeight="true" outlineLevel="0" collapsed="false">
      <c r="A17" s="5" t="s">
        <v>2849</v>
      </c>
      <c r="B17" s="5" t="s">
        <v>2850</v>
      </c>
      <c r="C17" s="5" t="s">
        <v>142</v>
      </c>
      <c r="D17" s="5" t="s">
        <v>142</v>
      </c>
    </row>
    <row r="18" customFormat="false" ht="30" hidden="false" customHeight="true" outlineLevel="0" collapsed="false">
      <c r="A18" s="5" t="s">
        <v>2851</v>
      </c>
      <c r="B18" s="5" t="s">
        <v>356</v>
      </c>
      <c r="C18" s="5" t="s">
        <v>142</v>
      </c>
      <c r="D18" s="5" t="s">
        <v>142</v>
      </c>
    </row>
    <row r="19" customFormat="false" ht="30" hidden="false" customHeight="true" outlineLevel="0" collapsed="false">
      <c r="A19" s="5" t="s">
        <v>2852</v>
      </c>
      <c r="B19" s="5" t="s">
        <v>181</v>
      </c>
      <c r="C19" s="5" t="s">
        <v>2853</v>
      </c>
      <c r="D19" s="5" t="s">
        <v>181</v>
      </c>
    </row>
    <row r="20" customFormat="false" ht="30" hidden="false" customHeight="true" outlineLevel="0" collapsed="false">
      <c r="A20" s="5" t="s">
        <v>2854</v>
      </c>
      <c r="B20" s="5"/>
      <c r="C20" s="5" t="s">
        <v>2855</v>
      </c>
      <c r="D20" s="5"/>
    </row>
    <row r="21" customFormat="false" ht="30" hidden="false" customHeight="true" outlineLevel="0" collapsed="false">
      <c r="A21" s="5" t="s">
        <v>2856</v>
      </c>
      <c r="B21" s="5" t="s">
        <v>2857</v>
      </c>
      <c r="C21" s="5" t="s">
        <v>2858</v>
      </c>
      <c r="D21" s="5" t="s">
        <v>211</v>
      </c>
    </row>
    <row r="22" customFormat="false" ht="30" hidden="false" customHeight="true" outlineLevel="0" collapsed="false">
      <c r="A22" s="5" t="s">
        <v>2859</v>
      </c>
      <c r="B22" s="5" t="s">
        <v>2860</v>
      </c>
      <c r="C22" s="5" t="s">
        <v>2861</v>
      </c>
      <c r="D22" s="5" t="s">
        <v>2862</v>
      </c>
    </row>
    <row r="23" customFormat="false" ht="30" hidden="false" customHeight="true" outlineLevel="0" collapsed="false">
      <c r="A23" s="5" t="s">
        <v>2863</v>
      </c>
      <c r="B23" s="5" t="s">
        <v>2776</v>
      </c>
      <c r="C23" s="5" t="s">
        <v>2864</v>
      </c>
      <c r="D23" s="5" t="s">
        <v>2865</v>
      </c>
    </row>
    <row r="24" customFormat="false" ht="69.75" hidden="false" customHeight="true" outlineLevel="0" collapsed="false">
      <c r="A24" s="5" t="s">
        <v>2866</v>
      </c>
      <c r="B24" s="5" t="s">
        <v>2867</v>
      </c>
      <c r="C24" s="5" t="s">
        <v>2868</v>
      </c>
      <c r="D24" s="5" t="s">
        <v>2869</v>
      </c>
    </row>
    <row r="25" customFormat="false" ht="56.25" hidden="false" customHeight="true" outlineLevel="0" collapsed="false">
      <c r="A25" s="5" t="s">
        <v>2870</v>
      </c>
      <c r="B25" s="5" t="s">
        <v>2776</v>
      </c>
      <c r="C25" s="5" t="s">
        <v>2871</v>
      </c>
      <c r="D25" s="5" t="s">
        <v>2872</v>
      </c>
    </row>
    <row r="26" customFormat="false" ht="30" hidden="false" customHeight="true" outlineLevel="0" collapsed="false">
      <c r="A26" s="5" t="s">
        <v>2873</v>
      </c>
      <c r="B26" s="5" t="s">
        <v>2874</v>
      </c>
      <c r="C26" s="5" t="s">
        <v>2875</v>
      </c>
      <c r="D26" s="5" t="s">
        <v>2837</v>
      </c>
    </row>
    <row r="27" customFormat="false" ht="7.5" hidden="false" customHeight="true" outlineLevel="0" collapsed="false"/>
    <row r="28" customFormat="false" ht="30" hidden="false" customHeight="true" outlineLevel="0" collapsed="false">
      <c r="A28" s="10" t="s">
        <v>2876</v>
      </c>
      <c r="B28" s="10"/>
      <c r="C28" s="10"/>
      <c r="D28" s="10"/>
    </row>
    <row r="29" customFormat="false" ht="7.5" hidden="false" customHeight="true" outlineLevel="0" collapsed="false"/>
  </sheetData>
  <mergeCells count="3">
    <mergeCell ref="A1:D1"/>
    <mergeCell ref="A2:D2"/>
    <mergeCell ref="A28:D2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2026-10-06T11:55:04Z</dcterms:created>
  <dc:creator>openpyxl</dc:creator>
  <dc:description/>
  <dc:language>en-US</dc:language>
  <cp:lastModifiedBy/>
  <dcterms:modified xsi:type="dcterms:W3CDTF">2026-10-06T11:55:05Z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